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_rels/sheet6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_rels/drawing1.xml.rels" ContentType="application/vnd.openxmlformats-package.relationship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apa" sheetId="1" state="visible" r:id="rId3"/>
    <sheet name="Parâmetros" sheetId="2" state="visible" r:id="rId4"/>
    <sheet name="Dados de Entrada" sheetId="3" state="visible" r:id="rId5"/>
    <sheet name="Presumido" sheetId="4" state="visible" r:id="rId6"/>
    <sheet name="Simples" sheetId="5" state="visible" r:id="rId7"/>
    <sheet name="Resumo" sheetId="6" state="visible" r:id="rId8"/>
    <sheet name="Notas e Fontes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5" authorId="0">
      <text>
        <r>
          <rPr>
            <sz val="10"/>
            <rFont val="Arial"/>
            <family val="2"/>
          </rPr>
          <t xml:space="preserve">Estimativa oficial (SERT/Receita Federal): ~8,8%. Pendente de fixação definitiva pelo Senado Federal (LC 214/2025, art. 130).</t>
        </r>
      </text>
    </comment>
    <comment ref="B6" authorId="0">
      <text>
        <r>
          <rPr>
            <sz val="10"/>
            <rFont val="Arial"/>
            <family val="2"/>
          </rPr>
          <t xml:space="preserve">Estimativa oficial (SERT/CGIBS): ~17,7% (soma estadual+municipal). Teto legal conjunto CBS+IBS = 26,5% (LC 214/2025). Resolução CGIBS nº 14/2026 projeta 27,91% para fins de arrecadação do próprio Comitê Gestor — acompanhar homologação do TCU/Senado.</t>
        </r>
      </text>
    </comment>
  </commentList>
</comments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12" authorId="0">
      <text>
        <r>
          <rPr>
            <sz val="10"/>
            <rFont val="Arial"/>
            <family val="2"/>
          </rPr>
          <t xml:space="preserve">Percentual da receita gasto com insumos/compras sujeitos ao mesmo tributo (estimativa do cliente ou do livro de apuração). Usado para calcular o crédito de CBS/IBS na não cumulatividade plena.</t>
        </r>
      </text>
    </comment>
    <comment ref="C14" authorId="0">
      <text>
        <r>
          <rPr>
            <sz val="10"/>
            <rFont val="Arial"/>
            <family val="2"/>
          </rPr>
          <t xml:space="preserve">Informe a alíquota efetiva já líquida do crédito de ICMS hoje aproveitado pelo cliente (não a alíquota nominal cheia), para comparação justa com o IBS não cumulativo.</t>
        </r>
      </text>
    </comment>
    <comment ref="C15" authorId="0">
      <text>
        <r>
          <rPr>
            <sz val="10"/>
            <rFont val="Arial"/>
            <family val="2"/>
          </rPr>
          <t xml:space="preserve">Alíquota do município de prestação do serviço (2% a 5%).</t>
        </r>
      </text>
    </comment>
    <comment ref="C16" authorId="0">
      <text>
        <r>
          <rPr>
            <sz val="10"/>
            <rFont val="Arial"/>
            <family val="2"/>
          </rPr>
          <t xml:space="preserve">IPI é extinto a partir de 2027 (mantido residualmente só para a Zona Franca de Manaus). Informe apenas para referência da carga atual.</t>
        </r>
      </text>
    </comment>
    <comment ref="C24" authorId="0">
      <text>
        <r>
          <rPr>
            <sz val="10"/>
            <rFont val="Arial"/>
            <family val="2"/>
          </rPr>
          <t xml:space="preserve">Campo "Total do Débito Exigível" do PGDAS-D.</t>
        </r>
      </text>
    </comment>
    <comment ref="C25" authorId="0">
      <text>
        <r>
          <rPr>
            <sz val="10"/>
            <rFont val="Arial"/>
            <family val="2"/>
          </rPr>
          <t xml:space="preserve">Relatório "Discriminação do Recolhimento" do PGDAS-D, coluna ICMS ou ISS.</t>
        </r>
      </text>
    </comment>
    <comment ref="C26" authorId="0">
      <text>
        <r>
          <rPr>
            <sz val="10"/>
            <rFont val="Arial"/>
            <family val="2"/>
          </rPr>
          <t xml:space="preserve">Relatório "Discriminação do Recolhimento" do PGDAS-D, soma das colunas PIS e COFINS.</t>
        </r>
      </text>
    </comment>
    <comment ref="C27" authorId="0">
      <text>
        <r>
          <rPr>
            <sz val="10"/>
            <rFont val="Arial"/>
            <family val="2"/>
          </rPr>
          <t xml:space="preserve">Quanto maior, maior o benefício competitivo do Regime Híbrido (o cliente comprador pode se creditar do IBS/CBS).</t>
        </r>
      </text>
    </comment>
  </commentList>
</comments>
</file>

<file path=xl/sharedStrings.xml><?xml version="1.0" encoding="utf-8"?>
<sst xmlns="http://schemas.openxmlformats.org/spreadsheetml/2006/main" count="165" uniqueCount="155">
  <si>
    <t xml:space="preserve">GTCON BRASIL CONTABILIDADE</t>
  </si>
  <si>
    <t xml:space="preserve">CALCULADORA — IMPACTO DA REFORMA TRIBUTÁRIA
NO LUCRO PRESUMIDO E NO SIMPLES NACIONAL</t>
  </si>
  <si>
    <t xml:space="preserve">Lucro Presumido (atual x pós-reforma)  •  Simples Nacional (DAS x Híbrido x Migração)</t>
  </si>
  <si>
    <t xml:space="preserve">Cliente:</t>
  </si>
  <si>
    <t xml:space="preserve">Setor:</t>
  </si>
  <si>
    <t xml:space="preserve">Regime atual:</t>
  </si>
  <si>
    <t xml:space="preserve">Ano de análise selecionado:</t>
  </si>
  <si>
    <t xml:space="preserve">Data de referência:</t>
  </si>
  <si>
    <t xml:space="preserve">25/08/2026</t>
  </si>
  <si>
    <t xml:space="preserve">Como usar este arquivo:
1. Aba "Parâmetros": confira/ajuste as alíquotas de referência e selecione o ano de análise.
2. Aba "Dados de Entrada": preencha os dados do cliente (Presumido e/ou Simples/PGDAS-D).
3. Aba "Presumido": veja o comparativo de carga tributária atual x pós-reforma.
4. Aba "Simples": compare DAS unificado, Regime Híbrido e migração para o Presumido.
5. Aba "Resumo": visão consolidada com gráficos, pronta para apresentar ao cliente.</t>
  </si>
  <si>
    <t xml:space="preserve">Uso interno GTCON Brasil Contabilidade — não distribuir sem revisão técnica</t>
  </si>
  <si>
    <t xml:space="preserve">PARÂMETROS DA REFORMA TRIBUTÁRIA — CRONOGRAMA E ALÍQUOTAS</t>
  </si>
  <si>
    <t xml:space="preserve">LC 214/2025 (regulamenta a EC 132/2023). Alíquotas de referência de CBS e IBS ainda pendentes de fixação definitiva pelo Senado Federal — ajuste as células azuis conforme novas resoluções forem publicadas.</t>
  </si>
  <si>
    <t xml:space="preserve">1. Alíquotas de referência (editável)</t>
  </si>
  <si>
    <t xml:space="preserve">CBS — alíquota de referência (vigente a partir de 2027)</t>
  </si>
  <si>
    <t xml:space="preserve">IBS — alíquota de referência plena (vigente a partir de 2033)</t>
  </si>
  <si>
    <t xml:space="preserve">Fonte: Secretaria Extraordinária da Reforma Tributária (Min. Fazenda); Resolução CGIBS nº 14/2026 (DOU 31/07/2026). Números sujeitos a revisão anual pelo Comitê Gestor do IBS e pela Receita Federal — reavalie a cada exercício.</t>
  </si>
  <si>
    <t xml:space="preserve">2. Cronograma de transição (LC 214/2025)</t>
  </si>
  <si>
    <t xml:space="preserve">Ano</t>
  </si>
  <si>
    <t xml:space="preserve">CBS</t>
  </si>
  <si>
    <t xml:space="preserve">IBS efetivo</t>
  </si>
  <si>
    <t xml:space="preserve">% ICMS/ISS mantido</t>
  </si>
  <si>
    <t xml:space="preserve">% IBS aplicado da alíquota plena</t>
  </si>
  <si>
    <t xml:space="preserve">Observações</t>
  </si>
  <si>
    <t xml:space="preserve">Fase de testes. CBS 0,9% e IBS 0,1% compensáveis com PIS/COFINS e ICMS/ISS devidos — sem aumento de carga (LC 214/2025, arts. 343 e 346).</t>
  </si>
  <si>
    <t xml:space="preserve">CBS plena — PIS e COFINS extintos. IBS segue em alíquota-teste de 0,1% (ainda compensável).</t>
  </si>
  <si>
    <t xml:space="preserve">Último ano antes da transição do IBS. ICMS e ISS seguem integrais.</t>
  </si>
  <si>
    <t xml:space="preserve">Início da transição: ICMS/ISS reduzidos a 90% da alíquota vigente em 31/12/2028.</t>
  </si>
  <si>
    <t xml:space="preserve">ICMS/ISS reduzidos a 80% da alíquota-base.</t>
  </si>
  <si>
    <t xml:space="preserve">ICMS/ISS reduzidos a 70% da alíquota-base.</t>
  </si>
  <si>
    <t xml:space="preserve">ICMS/ISS reduzidos a 60% da alíquota-base.</t>
  </si>
  <si>
    <t xml:space="preserve">Transição concluída — ICMS e ISS extintos; IBS e CBS plenos.</t>
  </si>
  <si>
    <t xml:space="preserve">3. Ano de análise selecionado</t>
  </si>
  <si>
    <t xml:space="preserve">Ano de análise (selecione)</t>
  </si>
  <si>
    <t xml:space="preserve">CBS do ano selecionado</t>
  </si>
  <si>
    <t xml:space="preserve">IBS efetivo do ano selecionado</t>
  </si>
  <si>
    <t xml:space="preserve">% ICMS/ISS ainda mantido no ano selecionado</t>
  </si>
  <si>
    <t xml:space="preserve">DADOS DE ENTRADA — CLIENTE</t>
  </si>
  <si>
    <t xml:space="preserve">Preencha apenas as células em azul/amarelo. Os campos do Simples Nacional seguem a nomenclatura do relatório "Discriminação do Recolhimento" do PGDAS-D — copie os valores diretamente do extrato do cliente.</t>
  </si>
  <si>
    <t xml:space="preserve">1. Identificação e regime</t>
  </si>
  <si>
    <t xml:space="preserve">Cliente</t>
  </si>
  <si>
    <t xml:space="preserve">Nome do cliente</t>
  </si>
  <si>
    <t xml:space="preserve">Setor de atuação</t>
  </si>
  <si>
    <t xml:space="preserve">Comércio/Indústria</t>
  </si>
  <si>
    <t xml:space="preserve">Regime atual do cliente</t>
  </si>
  <si>
    <t xml:space="preserve">Lucro Presumido</t>
  </si>
  <si>
    <t xml:space="preserve">Dica: preencha a seção 2 (Presumido) sempre — mesmo para clientes do Simples, ela alimenta o cenário "migração" na aba Simples.</t>
  </si>
  <si>
    <t xml:space="preserve">2. Dados para Lucro Presumido</t>
  </si>
  <si>
    <t xml:space="preserve">Receita bruta mensal (R$)</t>
  </si>
  <si>
    <t xml:space="preserve">% de compras/insumos sobre a receita (base de créditos de CBS/IBS)</t>
  </si>
  <si>
    <t xml:space="preserve">Atividade (presunção IRPJ/CSLL)</t>
  </si>
  <si>
    <t xml:space="preserve">Comércio/Indústria (8%/12%)</t>
  </si>
  <si>
    <t xml:space="preserve">Alíquota ICMS efetiva aplicável (líquida de créditos) (%)</t>
  </si>
  <si>
    <t xml:space="preserve">Alíquota ISS aplicável (%)</t>
  </si>
  <si>
    <t xml:space="preserve">Sujeito a IPI? alíquota (%)</t>
  </si>
  <si>
    <t xml:space="preserve">Não abordado neste modelo: ICMS-ST/monofásico, incentivos fiscais estaduais e Imposto Seletivo. Trate separadamente para clientes nessas situações.</t>
  </si>
  <si>
    <t xml:space="preserve">3. Dados do Simples Nacional (extraídos do PGDAS-D)</t>
  </si>
  <si>
    <t xml:space="preserve">RBT12 (R$)</t>
  </si>
  <si>
    <t xml:space="preserve">Anexo do Simples Nacional</t>
  </si>
  <si>
    <t xml:space="preserve">Anexo I</t>
  </si>
  <si>
    <t xml:space="preserve">Fator R (se Anexo III/V) (%)</t>
  </si>
  <si>
    <t xml:space="preserve">Receita bruta do mês — PGDAS-D (R$)</t>
  </si>
  <si>
    <t xml:space="preserve">Valor total do DAS do mês (R$) — PGDAS-D</t>
  </si>
  <si>
    <t xml:space="preserve">Parcela do DAS ref. ICMS/ISS (R$)</t>
  </si>
  <si>
    <t xml:space="preserve">Parcela do DAS ref. PIS/COFINS (R$)</t>
  </si>
  <si>
    <t xml:space="preserve">% de vendas para clientes B2B (não optantes pelo Simples) (%)</t>
  </si>
  <si>
    <t xml:space="preserve">% de compras/insumos sobre a receita (base de créditos) (%)</t>
  </si>
  <si>
    <t xml:space="preserve">Importação do PGDAS-D: o Excel não lê PDF/DOCX diretamente. Copie os valores acima do relatório "Discriminação do Recolhimento" do PGDAS-D do cliente. Se preferir, envie o PDF/DOCX do PGDAS-D em uma conversa com a Claude para pré-preenchimento automático destes campos para um cliente específico.</t>
  </si>
  <si>
    <t xml:space="preserve">IMPACTO DA REFORMA TRIBUTÁRIA NO LUCRO PRESUMIDO</t>
  </si>
  <si>
    <t xml:space="preserve">1. Bases de presunção — IRPJ e CSLL (a reforma não altera IRPJ/CSLL)</t>
  </si>
  <si>
    <t xml:space="preserve">% presunção IRPJ (conforme atividade informada)</t>
  </si>
  <si>
    <t xml:space="preserve">% presunção CSLL (conforme atividade informada)</t>
  </si>
  <si>
    <t xml:space="preserve">2. Comparativo mensal — Regime Atual x Pós-Reforma</t>
  </si>
  <si>
    <t xml:space="preserve">Item</t>
  </si>
  <si>
    <t xml:space="preserve">Regime Atual</t>
  </si>
  <si>
    <t xml:space="preserve">Pós-Reforma (ano selecionado)</t>
  </si>
  <si>
    <t xml:space="preserve">Receita bruta mensal</t>
  </si>
  <si>
    <t xml:space="preserve">Base de cálculo do IRPJ</t>
  </si>
  <si>
    <t xml:space="preserve">IRPJ (15% + adicional 10% s/ excedente a R$20.000/mês)</t>
  </si>
  <si>
    <t xml:space="preserve">Reforma não altera IRPJ/CSLL — mesma fórmula nas duas colunas.</t>
  </si>
  <si>
    <t xml:space="preserve">Base de cálculo da CSLL</t>
  </si>
  <si>
    <t xml:space="preserve">CSLL (9% sobre a base)</t>
  </si>
  <si>
    <t xml:space="preserve">PIS/COFINS cumulativo (3,65% s/ receita, sem crédito)</t>
  </si>
  <si>
    <t xml:space="preserve">Extinto a partir de 2027 — substituído pela CBS não cumulativa.</t>
  </si>
  <si>
    <t xml:space="preserve">CBS líquida (receita × alíq. − créditos s/ compras)</t>
  </si>
  <si>
    <t xml:space="preserve">Não cumulativa: desconta crédito sobre o % de compras/insumos informado.</t>
  </si>
  <si>
    <t xml:space="preserve">ICMS (regime atual — setor Comércio/Indústria)</t>
  </si>
  <si>
    <t xml:space="preserve">Pós-reforma: parcela residual de ICMS ainda vigente no ano selecionado (0% a partir de 2033).</t>
  </si>
  <si>
    <t xml:space="preserve">ISS (regime atual — setor Serviços)</t>
  </si>
  <si>
    <t xml:space="preserve">Pós-reforma: parcela residual de ISS ainda vigente no ano selecionado (0% a partir de 2033).</t>
  </si>
  <si>
    <t xml:space="preserve">IBS líquida (substitui ICMS/ISS — receita × alíq. efetiva − créditos)</t>
  </si>
  <si>
    <t xml:space="preserve">Não cumulativa e unificada para comércio, indústria e serviços.</t>
  </si>
  <si>
    <t xml:space="preserve">IPI</t>
  </si>
  <si>
    <t xml:space="preserve">Extinto a partir de 2027 (mantido apenas residualmente na Zona Franca de Manaus) — pode surgir Imposto Seletivo para produtos específicos, fora do escopo deste modelo.</t>
  </si>
  <si>
    <t xml:space="preserve">TOTAL MENSAL</t>
  </si>
  <si>
    <t xml:space="preserve">TOTAL ANUAL (× 12)</t>
  </si>
  <si>
    <t xml:space="preserve">Diferença anual — Pós-Reforma vs. Atual (R$)</t>
  </si>
  <si>
    <t xml:space="preserve">Diferença percentual (%)</t>
  </si>
  <si>
    <t xml:space="preserve">Leitura: um valor negativo em "Diferença" indica REDUÇÃO de carga pós-reforma (efeito dos créditos de CBS/IBS sobre compras/insumos, algo que o PIS/COFINS cumulativo e, no caso do ISS, o regime atual não permitem). Um valor positivo indica AUMENTO de carga — comum em atividades com baixo volume de insumos ou alta margem de valor agregado, onde o crédito recuperável é pequeno em relação à alíquota cheia de CBS/IBS.</t>
  </si>
  <si>
    <t xml:space="preserve">SIMPLES NACIONAL — DAS UNIFICADO x HÍBRIDO x MIGRAÇÃO PARA LUCRO PRESUMIDO</t>
  </si>
  <si>
    <t xml:space="preserve">1. DAS Unificado (regime atual)</t>
  </si>
  <si>
    <t xml:space="preserve">Valor do DAS do mês (PGDAS-D)</t>
  </si>
  <si>
    <t xml:space="preserve">A opção pelo regime unificado mantém a sistemática atual dos Anexos I a V — o próprio DAS já embute internamente as parcelas equivalentes a IBS/CBS durante a transição, sem alteração na carga total do Simples (Resolução CGSN nº 190/2026).</t>
  </si>
  <si>
    <t xml:space="preserve">2. Regime Híbrido (opção a partir de set/2026)</t>
  </si>
  <si>
    <t xml:space="preserve">Parcela do DAS mantida (IRPJ + CSLL + CPP)</t>
  </si>
  <si>
    <t xml:space="preserve">DAS total menos as parcelas de ICMS/ISS e PIS/COFINS (segregadas para fora do DAS).</t>
  </si>
  <si>
    <t xml:space="preserve">CBS líquida (fora do DAS, com direito a crédito)</t>
  </si>
  <si>
    <t xml:space="preserve">IBS líquida (fora do DAS, com direito a crédito)</t>
  </si>
  <si>
    <t xml:space="preserve">Total mensal — Híbrido</t>
  </si>
  <si>
    <t xml:space="preserve">3. Migração para Lucro Presumido</t>
  </si>
  <si>
    <t xml:space="preserve">Total mensal estimado — Lucro Presumido pós-reforma</t>
  </si>
  <si>
    <t xml:space="preserve">Antes de comparar, preencha a seção 2 ("Dados para Lucro Presumido") da aba "Dados de Entrada" com os dados reais deste cliente — receita, % de compras, alíquota de ICMS/ISS e atividade — para que este valor reflita a carga que ele teria como Lucro Presumido.</t>
  </si>
  <si>
    <t xml:space="preserve">4. Comparativo final (mensal e anual)</t>
  </si>
  <si>
    <t xml:space="preserve">Cenário</t>
  </si>
  <si>
    <t xml:space="preserve">Total mensal</t>
  </si>
  <si>
    <t xml:space="preserve">Total anual</t>
  </si>
  <si>
    <t xml:space="preserve">Diferença vs. DAS unificado</t>
  </si>
  <si>
    <t xml:space="preserve">DAS Unificado</t>
  </si>
  <si>
    <t xml:space="preserve">Híbrido</t>
  </si>
  <si>
    <t xml:space="preserve">Migração para Lucro Presumido</t>
  </si>
  <si>
    <t xml:space="preserve">Como ler: no Híbrido, IBS e CBS saem do DAS e passam a ser apurados pelas alíquotas cheias do regime regular (não cumulativo) — por isso o valor recolhido costuma SUBIR em relação à parcela pequena que hoje fica embutida no DAS pela tabela do Anexo, especialmente em atividades com baixo % de compras/insumos (typicamente serviços). O ganho não é de caixa: é o crédito INTEGRAL que a empresa passa a destacar na nota para clientes B2B não optantes — algo que o Simples tradicional só permite de forma limitada (proporcional à alíquota efetiva do Anexo). Vale a pena quando o % de vendas B2B informado é alto o suficiente para que esse crédito maior sustente preço ou retenha cliente que, de outra forma, compraria de um concorrente do regime regular. Já a migração para o Lucro Presumido só costuma compensar quando a margem real de lucro é baixa frente à presunção legal, há alto volume de créditos de insumos a recuperar, ou a carteira é majoritariamente B2B — considere também a perda da guia única e o aumento de obrigações acessórias antes de recomendar a migração.</t>
  </si>
  <si>
    <t xml:space="preserve">RESUMO COMPARATIVO</t>
  </si>
  <si>
    <t xml:space="preserve">1. Lucro Presumido — Atual x Pós-Reforma (mensal)</t>
  </si>
  <si>
    <t xml:space="preserve">Var. %</t>
  </si>
  <si>
    <t xml:space="preserve">Presumido — Regime Atual</t>
  </si>
  <si>
    <t xml:space="preserve">Presumido — Pós-Reforma</t>
  </si>
  <si>
    <t xml:space="preserve">2. Simples Nacional — DAS x Híbrido x Migração (mensal)</t>
  </si>
  <si>
    <t xml:space="preserve">Var. % vs. DAS</t>
  </si>
  <si>
    <t xml:space="preserve">Os valores desta aba são calculados automaticamente a partir das abas "Presumido" e "Simples" — não edite aqui. Para alterar premissas, ajuste as células azuis nas abas "Parâmetros" e "Dados de Entrada".</t>
  </si>
  <si>
    <t xml:space="preserve">NOTAS METODOLÓGICAS E FONTES</t>
  </si>
  <si>
    <t xml:space="preserve">1. Escopo do modelo</t>
  </si>
  <si>
    <t xml:space="preserve">• Este arquivo estima o impacto da Reforma Tributária (EC 132/2023 e LC 214/2025) sobre empresas do Lucro Presumido, e compara, para empresas do Simples Nacional, as três alternativas disponíveis a partir de 2026/2027: manter o DAS unificado, optar pelo Regime Híbrido (IBS/CBS apurados por fora, pelo regime regular), ou migrar para o Lucro Presumido.</t>
  </si>
  <si>
    <t xml:space="preserve">• Não estão contemplados neste modelo: ICMS-ST/monofásico, Imposto Seletivo, incentivos fiscais estaduais específicos, split payment e cashback, regimes específicos (combustíveis, serviços financeiros, planos de saúde etc.) e o efeito de créditos acumulados de ICMS na transição. Trate esses pontos caso a caso.</t>
  </si>
  <si>
    <t xml:space="preserve">2. Alíquotas e cronograma</t>
  </si>
  <si>
    <t xml:space="preserve">• 2026: alíquotas-teste de CBS (0,9%) e IBS (0,1%) — compensáveis com os tributos atuais, sem aumento de carga (LC 214/2025, arts. 343 e 346).</t>
  </si>
  <si>
    <t xml:space="preserve">• 2027-2028: CBS plena (extinção de PIS/COFINS); IBS segue em alíquota-teste de 0,1% (ainda compensável). ICMS e ISS permanecem integrais.</t>
  </si>
  <si>
    <t xml:space="preserve">• 2029-2032: transição do ICMS/ISS para o IBS — reduzidos a 90%/80%/70%/60% da alíquota vigente em 31/12/2028, na mesma proporção em que o IBS assume participação crescente (10%/20%/30%/40% da alíquota plena).</t>
  </si>
  <si>
    <t xml:space="preserve">• 2033: transição concluída — ICMS e ISS extintos; IBS e CBS plenos.</t>
  </si>
  <si>
    <t xml:space="preserve">• Alíquotas de referência utilizadas por padrão neste arquivo: CBS 8,8% e IBS 17,7% (soma ~26,5%, teto legal da LC 214/2025). A Resolução CGIBS nº 14/2026 projetou 27,91% para fins orçamentários do próprio Comitê Gestor — não é a alíquota definitiva. Ajuste as células B5:B6 da aba "Parâmetros" conforme novas resoluções.</t>
  </si>
  <si>
    <t xml:space="preserve">3. Lucro Presumido</t>
  </si>
  <si>
    <t xml:space="preserve">• IRPJ e CSLL não são alterados pela reforma — mesma sistemática de presunção (8%/12% comércio-indústria, 32%/32% serviços gerais, conforme atividade) e adicional de 10% de IRPJ sobre o que exceder R$20.000/mês.</t>
  </si>
  <si>
    <t xml:space="preserve">• PIS/COFINS cumulativo (3,65%, sem crédito) é extinto a partir de 2027 e substituído pela CBS não cumulativa.</t>
  </si>
  <si>
    <t xml:space="preserve">• ICMS/ISS seguem a redução gradual do cronograma de transição; IBS os substitui de forma não cumulativa e unificada.</t>
  </si>
  <si>
    <t xml:space="preserve">• Créditos de CBS/IBS foram estimados aplicando a alíquota do ano sobre o % de compras/insumos informado pelo usuário — uma simplificação. Em uma apuração real, o crédito depende do CST/cClassTrib de cada aquisição.</t>
  </si>
  <si>
    <t xml:space="preserve">4. Simples Nacional — Regime Híbrido</t>
  </si>
  <si>
    <t xml:space="preserve">• Regulamentado pela Resolução CGSN nº 186/2026 (janelas de opção) e nº 190/2026 (regras de apuração e exclusão da receita bruta). Quem não optar permanece no modelo padrão, com IBS/CBS embutidos no DAS.</t>
  </si>
  <si>
    <t xml:space="preserve">• No Híbrido, IBS e CBS saem do DAS e são apurados pelo regime regular (não cumulativo pleno), com direito a crédito integral ao adquirente — geralmente maior do que a parcela pequena hoje embutida no DAS pela tabela do Anexo, o que pode elevar o valor recolhido. O benefício é competitivo (crédito para clientes B2B), não necessariamente uma redução de caixa.</t>
  </si>
  <si>
    <t xml:space="preserve">• Janela de opção para o 1º semestre de 2027: 1º a 30/09/2026 (cancelável até 30/11/2026); para o 2º semestre de 2027: março/2027.</t>
  </si>
  <si>
    <t xml:space="preserve">• CPP permanece no DAS em qualquer cenário — o Híbrido não afeta a folha de pagamento.</t>
  </si>
  <si>
    <t xml:space="preserve">5. Fontes</t>
  </si>
  <si>
    <t xml:space="preserve">• Lei Complementar nº 214/2025 e Emenda Constitucional nº 132/2023.</t>
  </si>
  <si>
    <t xml:space="preserve">• Resoluções CGSN nº 186/2026 e nº 190/2026 (Comitê Gestor do Simples Nacional).</t>
  </si>
  <si>
    <t xml:space="preserve">• Resolução CGIBS nº 14/2026 (Comitê Gestor do IBS), DOU 31/07/2026.</t>
  </si>
  <si>
    <t xml:space="preserve">• Secretaria Extraordinária da Reforma Tributária — Ministério da Fazenda.</t>
  </si>
  <si>
    <t xml:space="preserve">Documento de apoio interno GTCON Brasil Contabilidade. Última atualização: 25/08/2026. Revisar sempre que novas resoluções do CGSN, CGIBS ou do Senado Federal forem publicadas.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</si>
</sst>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"/>
    <numFmt numFmtId="166" formatCode="0.00%"/>
    <numFmt numFmtId="167" formatCode="0.0%"/>
    <numFmt numFmtId="168" formatCode="&quot;R$ &quot;#,##0;[RED]&quot;(R$ &quot;#,##0\);\-"/>
  </numFmts>
  <fonts count="2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C9A227"/>
      <name val="Calibri"/>
      <family val="0"/>
      <charset val="1"/>
    </font>
    <font>
      <b val="true"/>
      <sz val="18"/>
      <color rgb="FF1B2A4A"/>
      <name val="Calibri"/>
      <family val="0"/>
      <charset val="1"/>
    </font>
    <font>
      <i val="true"/>
      <sz val="11"/>
      <color rgb="FF595959"/>
      <name val="Calibri"/>
      <family val="0"/>
      <charset val="1"/>
    </font>
    <font>
      <b val="true"/>
      <sz val="10"/>
      <name val="Calibri"/>
      <family val="0"/>
      <charset val="1"/>
    </font>
    <font>
      <sz val="10"/>
      <color rgb="FF008000"/>
      <name val="Calibri"/>
      <family val="0"/>
      <charset val="1"/>
    </font>
    <font>
      <sz val="10"/>
      <name val="Calibri"/>
      <family val="0"/>
      <charset val="1"/>
    </font>
    <font>
      <i val="true"/>
      <sz val="8.5"/>
      <color rgb="FFFFFFFF"/>
      <name val="Calibri"/>
      <family val="0"/>
      <charset val="1"/>
    </font>
    <font>
      <b val="true"/>
      <sz val="13"/>
      <color rgb="FFFFFFFF"/>
      <name val="Calibri"/>
      <family val="0"/>
      <charset val="1"/>
    </font>
    <font>
      <i val="true"/>
      <sz val="9"/>
      <color rgb="FF595959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sz val="10"/>
      <color rgb="FF0000FF"/>
      <name val="Calibri"/>
      <family val="0"/>
      <charset val="1"/>
    </font>
    <font>
      <i val="true"/>
      <sz val="8"/>
      <color rgb="FF7F7F7F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b val="true"/>
      <sz val="10"/>
      <color rgb="FF000000"/>
      <name val="Calibri"/>
      <family val="0"/>
      <charset val="1"/>
    </font>
    <font>
      <sz val="10"/>
      <color rgb="FF000000"/>
      <name val="Calibri"/>
      <family val="0"/>
      <charset val="1"/>
    </font>
    <font>
      <i val="true"/>
      <sz val="8.5"/>
      <name val="Calibri"/>
      <family val="0"/>
      <charset val="1"/>
    </font>
    <font>
      <b val="true"/>
      <sz val="11"/>
      <color rgb="FF0000FF"/>
      <name val="Calibri"/>
      <family val="0"/>
      <charset val="1"/>
    </font>
    <font>
      <sz val="10"/>
      <name val="Arial"/>
      <family val="2"/>
    </font>
    <font>
      <b val="true"/>
      <sz val="10"/>
      <color rgb="FF0000FF"/>
      <name val="Calibri"/>
      <family val="0"/>
      <charset val="1"/>
    </font>
    <font>
      <i val="true"/>
      <sz val="9.5"/>
      <color rgb="FF1B2A4A"/>
      <name val="Calibri"/>
      <family val="0"/>
      <charset val="1"/>
    </font>
    <font>
      <b val="true"/>
      <sz val="10"/>
      <color rgb="FFC00000"/>
      <name val="Calibri"/>
      <family val="0"/>
      <charset val="1"/>
    </font>
    <font>
      <b val="true"/>
      <sz val="12"/>
      <color rgb="FFFFFFFF"/>
      <name val="Calibri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1F3864"/>
        <bgColor rgb="FF1B2A4A"/>
      </patternFill>
    </fill>
    <fill>
      <patternFill patternType="solid">
        <fgColor rgb="FFB45309"/>
        <bgColor rgb="FF993366"/>
      </patternFill>
    </fill>
    <fill>
      <patternFill patternType="solid">
        <fgColor rgb="FFFFFDE7"/>
        <bgColor rgb="FFF9F9F9"/>
      </patternFill>
    </fill>
    <fill>
      <patternFill patternType="solid">
        <fgColor rgb="FFEDEDED"/>
        <bgColor rgb="FFF9F9F9"/>
      </patternFill>
    </fill>
    <fill>
      <patternFill patternType="solid">
        <fgColor rgb="FFFFF2CC"/>
        <bgColor rgb="FFFFFDE7"/>
      </patternFill>
    </fill>
    <fill>
      <patternFill patternType="solid">
        <fgColor rgb="FFD9E2F3"/>
        <bgColor rgb="FFD9D9D9"/>
      </patternFill>
    </fill>
  </fills>
  <borders count="4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FFFFFF"/>
      </bottom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/>
      <right/>
      <top style="double">
        <color rgb="FF1F3864"/>
      </top>
      <bottom style="thin">
        <color rgb="FF1F3864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8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0" fillId="3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2" fillId="0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3" fillId="3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6" fontId="14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7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8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8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7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8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8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20" fillId="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6" fontId="18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18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4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2" fillId="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8" fontId="14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14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3" fillId="0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9" fillId="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18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5" borderId="2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18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2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7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17" fillId="7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7" borderId="3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17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8" fontId="2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2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5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8" fontId="18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17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2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4" fontId="13" fillId="3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4" fontId="9" fillId="0" borderId="0" xfId="0" applyFont="true" applyBorder="false" applyAlignment="true" applyProtection="false">
      <alignment horizontal="left" vertical="top" textRotation="0" wrapText="true" indent="1" shrinkToFit="false"/>
      <protection locked="true" hidden="false"/>
    </xf>
    <xf numFmtId="164" fontId="15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FFDE7"/>
      <rgbColor rgb="FFEDEDED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9E2F3"/>
      <rgbColor rgb="FFF9F9F9"/>
      <rgbColor rgb="FFFFF2CC"/>
      <rgbColor rgb="FF99CCFF"/>
      <rgbColor rgb="FFFF99CC"/>
      <rgbColor rgb="FFCC99FF"/>
      <rgbColor rgb="FFFFCC99"/>
      <rgbColor rgb="FF4F81BD"/>
      <rgbColor rgb="FF33CCCC"/>
      <rgbColor rgb="FF99CC00"/>
      <rgbColor rgb="FFFFCC00"/>
      <rgbColor rgb="FFC9A227"/>
      <rgbColor rgb="FFFF6600"/>
      <rgbColor rgb="FF595959"/>
      <rgbColor rgb="FF878787"/>
      <rgbColor rgb="FF1F3864"/>
      <rgbColor rgb="FF339966"/>
      <rgbColor rgb="FF003300"/>
      <rgbColor rgb="FF333300"/>
      <rgbColor rgb="FFB45309"/>
      <rgbColor rgb="FF993366"/>
      <rgbColor rgb="FF333399"/>
      <rgbColor rgb="FF1B2A4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Lucro Presumido — Carga mensal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Resumo!B5</c:f>
              <c:strCache>
                <c:ptCount val="1"/>
                <c:pt idx="0">
                  <c:v>Total mensal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Resumo!$A$6:$A$7</c:f>
              <c:strCache>
                <c:ptCount val="2"/>
                <c:pt idx="0">
                  <c:v>Presumido — Regime Atual</c:v>
                </c:pt>
                <c:pt idx="1">
                  <c:v>Presumido — Pós-Reforma</c:v>
                </c:pt>
              </c:strCache>
            </c:strRef>
          </c:cat>
          <c:val>
            <c:numRef>
              <c:f>Resumo!$B$6:$B$7</c:f>
              <c:numCache>
                <c:formatCode>"R$ "#,##0;[RED]"(R$ "#,##0\);\-</c:formatCode>
                <c:ptCount val="2"/>
                <c:pt idx="0">
                  <c:v>157205</c:v>
                </c:pt>
                <c:pt idx="1">
                  <c:v>171570</c:v>
                </c:pt>
              </c:numCache>
            </c:numRef>
          </c:val>
        </c:ser>
        <c:gapWidth val="150"/>
        <c:overlap val="0"/>
        <c:axId val="1213663"/>
        <c:axId val="79067415"/>
      </c:barChart>
      <c:catAx>
        <c:axId val="1213663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9067415"/>
        <c:crosses val="autoZero"/>
        <c:auto val="1"/>
        <c:lblAlgn val="ctr"/>
        <c:lblOffset val="100"/>
        <c:noMultiLvlLbl val="0"/>
      </c:catAx>
      <c:valAx>
        <c:axId val="7906741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R$/mês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&quot;R$ &quot;#,##0;[RED]&quot;(R$ &quot;#,##0\);\-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213663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Simples Nacional — Carga mensal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Resumo!B10</c:f>
              <c:strCache>
                <c:ptCount val="1"/>
                <c:pt idx="0">
                  <c:v>Total mensal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Resumo!$A$11:$A$13</c:f>
              <c:strCache>
                <c:ptCount val="3"/>
                <c:pt idx="0">
                  <c:v>DAS Unificado</c:v>
                </c:pt>
                <c:pt idx="1">
                  <c:v>Híbrido</c:v>
                </c:pt>
                <c:pt idx="2">
                  <c:v>Migração para Lucro Presumido</c:v>
                </c:pt>
              </c:strCache>
            </c:strRef>
          </c:cat>
          <c:val>
            <c:numRef>
              <c:f>Resumo!$B$11:$B$13</c:f>
              <c:numCache>
                <c:formatCode>"R$ "#,##0;[RED]"(R$ "#,##0\);\-</c:formatCode>
                <c:ptCount val="3"/>
                <c:pt idx="0">
                  <c:v>52000</c:v>
                </c:pt>
                <c:pt idx="1">
                  <c:v>83987.5</c:v>
                </c:pt>
                <c:pt idx="2">
                  <c:v>171570</c:v>
                </c:pt>
              </c:numCache>
            </c:numRef>
          </c:val>
        </c:ser>
        <c:gapWidth val="150"/>
        <c:overlap val="0"/>
        <c:axId val="68934115"/>
        <c:axId val="33718871"/>
      </c:barChart>
      <c:catAx>
        <c:axId val="68934115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3718871"/>
        <c:crosses val="autoZero"/>
        <c:auto val="1"/>
        <c:lblAlgn val="ctr"/>
        <c:lblOffset val="100"/>
        <c:noMultiLvlLbl val="0"/>
      </c:catAx>
      <c:valAx>
        <c:axId val="3371887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R$/mês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&quot;R$ &quot;#,##0;[RED]&quot;(R$ &quot;#,##0\);\-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8934115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0</xdr:colOff>
      <xdr:row>3</xdr:row>
      <xdr:rowOff>0</xdr:rowOff>
    </xdr:from>
    <xdr:to>
      <xdr:col>14</xdr:col>
      <xdr:colOff>147240</xdr:colOff>
      <xdr:row>15</xdr:row>
      <xdr:rowOff>165600</xdr:rowOff>
    </xdr:to>
    <xdr:graphicFrame>
      <xdr:nvGraphicFramePr>
        <xdr:cNvPr id="0" name="Chart 1"/>
        <xdr:cNvGraphicFramePr/>
      </xdr:nvGraphicFramePr>
      <xdr:xfrm>
        <a:off x="10338480" y="695160"/>
        <a:ext cx="5039280" cy="269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6</xdr:col>
      <xdr:colOff>0</xdr:colOff>
      <xdr:row>19</xdr:row>
      <xdr:rowOff>0</xdr:rowOff>
    </xdr:from>
    <xdr:to>
      <xdr:col>14</xdr:col>
      <xdr:colOff>147240</xdr:colOff>
      <xdr:row>33</xdr:row>
      <xdr:rowOff>32400</xdr:rowOff>
    </xdr:to>
    <xdr:graphicFrame>
      <xdr:nvGraphicFramePr>
        <xdr:cNvPr id="1" name="Chart 2"/>
        <xdr:cNvGraphicFramePr/>
      </xdr:nvGraphicFramePr>
      <xdr:xfrm>
        <a:off x="10338480" y="3990960"/>
        <a:ext cx="5039280" cy="269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2.v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9A227"/>
    <pageSetUpPr fitToPage="false"/>
  </sheetPr>
  <dimension ref="A1:G2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6" min="2" style="1" width="18"/>
    <col collapsed="false" customWidth="true" hidden="false" outlineLevel="0" max="7" min="7" style="1" width="4"/>
  </cols>
  <sheetData>
    <row r="1" customFormat="false" ht="18" hidden="false" customHeight="true" outlineLevel="0" collapsed="false">
      <c r="A1" s="2"/>
      <c r="B1" s="2"/>
      <c r="C1" s="2"/>
      <c r="D1" s="2"/>
      <c r="E1" s="2"/>
      <c r="F1" s="2"/>
      <c r="G1" s="2"/>
    </row>
    <row r="2" customFormat="false" ht="18" hidden="false" customHeight="true" outlineLevel="0" collapsed="false">
      <c r="A2" s="2"/>
      <c r="B2" s="3" t="s">
        <v>0</v>
      </c>
      <c r="C2" s="3"/>
      <c r="D2" s="3"/>
      <c r="E2" s="3"/>
      <c r="F2" s="3"/>
      <c r="G2" s="2"/>
    </row>
    <row r="3" customFormat="false" ht="18" hidden="false" customHeight="true" outlineLevel="0" collapsed="false">
      <c r="A3" s="2"/>
      <c r="B3" s="2"/>
      <c r="C3" s="2"/>
      <c r="D3" s="2"/>
      <c r="E3" s="2"/>
      <c r="F3" s="2"/>
      <c r="G3" s="2"/>
    </row>
    <row r="4" customFormat="false" ht="18" hidden="false" customHeight="true" outlineLevel="0" collapsed="false"/>
    <row r="5" customFormat="false" ht="18" hidden="false" customHeight="true" outlineLevel="0" collapsed="false"/>
    <row r="6" customFormat="false" ht="30" hidden="false" customHeight="true" outlineLevel="0" collapsed="false">
      <c r="B6" s="4" t="s">
        <v>1</v>
      </c>
      <c r="C6" s="4"/>
      <c r="D6" s="4"/>
      <c r="E6" s="4"/>
      <c r="F6" s="4"/>
    </row>
    <row r="7" customFormat="false" ht="18" hidden="false" customHeight="true" outlineLevel="0" collapsed="false">
      <c r="B7" s="4"/>
      <c r="C7" s="4"/>
      <c r="D7" s="4"/>
      <c r="E7" s="4"/>
      <c r="F7" s="4"/>
    </row>
    <row r="8" customFormat="false" ht="18" hidden="false" customHeight="true" outlineLevel="0" collapsed="false">
      <c r="B8" s="4"/>
      <c r="C8" s="4"/>
      <c r="D8" s="4"/>
      <c r="E8" s="4"/>
      <c r="F8" s="4"/>
    </row>
    <row r="9" customFormat="false" ht="18" hidden="false" customHeight="true" outlineLevel="0" collapsed="false"/>
    <row r="10" customFormat="false" ht="18" hidden="false" customHeight="true" outlineLevel="0" collapsed="false">
      <c r="B10" s="5" t="s">
        <v>2</v>
      </c>
      <c r="C10" s="5"/>
      <c r="D10" s="5"/>
      <c r="E10" s="5"/>
      <c r="F10" s="5"/>
    </row>
    <row r="11" customFormat="false" ht="18" hidden="false" customHeight="true" outlineLevel="0" collapsed="false"/>
    <row r="12" customFormat="false" ht="18" hidden="false" customHeight="true" outlineLevel="0" collapsed="false"/>
    <row r="13" customFormat="false" ht="18" hidden="false" customHeight="true" outlineLevel="0" collapsed="false">
      <c r="B13" s="6" t="s">
        <v>3</v>
      </c>
      <c r="C13" s="6"/>
      <c r="D13" s="7" t="str">
        <f aca="false">'Dados de Entrada'!$C$5</f>
        <v>Nome do cliente</v>
      </c>
      <c r="E13" s="7"/>
      <c r="F13" s="7"/>
    </row>
    <row r="14" customFormat="false" ht="18" hidden="false" customHeight="true" outlineLevel="0" collapsed="false">
      <c r="B14" s="6" t="s">
        <v>4</v>
      </c>
      <c r="C14" s="6"/>
      <c r="D14" s="7" t="str">
        <f aca="false">'Dados de Entrada'!$C$6</f>
        <v>Comércio/Indústria</v>
      </c>
      <c r="E14" s="7"/>
      <c r="F14" s="7"/>
    </row>
    <row r="15" customFormat="false" ht="18" hidden="false" customHeight="true" outlineLevel="0" collapsed="false">
      <c r="B15" s="6" t="s">
        <v>5</v>
      </c>
      <c r="C15" s="6"/>
      <c r="D15" s="7" t="str">
        <f aca="false">'Dados de Entrada'!$C$7</f>
        <v>Lucro Presumido</v>
      </c>
      <c r="E15" s="7"/>
      <c r="F15" s="7"/>
    </row>
    <row r="16" customFormat="false" ht="18" hidden="false" customHeight="true" outlineLevel="0" collapsed="false">
      <c r="B16" s="6" t="s">
        <v>6</v>
      </c>
      <c r="C16" s="6"/>
      <c r="D16" s="8" t="n">
        <f aca="false">Parâmetros!$B$21</f>
        <v>2027</v>
      </c>
      <c r="E16" s="8"/>
      <c r="F16" s="8"/>
    </row>
    <row r="17" customFormat="false" ht="18" hidden="false" customHeight="true" outlineLevel="0" collapsed="false">
      <c r="B17" s="6" t="s">
        <v>7</v>
      </c>
      <c r="C17" s="6"/>
      <c r="D17" s="9" t="s">
        <v>8</v>
      </c>
      <c r="E17" s="9"/>
      <c r="F17" s="9"/>
    </row>
    <row r="18" customFormat="false" ht="18" hidden="false" customHeight="true" outlineLevel="0" collapsed="false"/>
    <row r="19" customFormat="false" ht="18" hidden="false" customHeight="true" outlineLevel="0" collapsed="false"/>
    <row r="20" customFormat="false" ht="109.5" hidden="false" customHeight="true" outlineLevel="0" collapsed="false">
      <c r="B20" s="10" t="s">
        <v>9</v>
      </c>
      <c r="C20" s="10"/>
      <c r="D20" s="10"/>
      <c r="E20" s="10"/>
      <c r="F20" s="10"/>
    </row>
    <row r="21" customFormat="false" ht="18" hidden="false" customHeight="true" outlineLevel="0" collapsed="false">
      <c r="B21" s="10"/>
      <c r="C21" s="10"/>
      <c r="D21" s="10"/>
      <c r="E21" s="10"/>
      <c r="F21" s="10"/>
    </row>
    <row r="22" customFormat="false" ht="18" hidden="false" customHeight="true" outlineLevel="0" collapsed="false">
      <c r="B22" s="10"/>
      <c r="C22" s="10"/>
      <c r="D22" s="10"/>
      <c r="E22" s="10"/>
      <c r="F22" s="10"/>
    </row>
    <row r="23" customFormat="false" ht="18" hidden="false" customHeight="true" outlineLevel="0" collapsed="false">
      <c r="B23" s="10"/>
      <c r="C23" s="10"/>
      <c r="D23" s="10"/>
      <c r="E23" s="10"/>
      <c r="F23" s="10"/>
    </row>
    <row r="24" customFormat="false" ht="18" hidden="false" customHeight="true" outlineLevel="0" collapsed="false">
      <c r="B24" s="10"/>
      <c r="C24" s="10"/>
      <c r="D24" s="10"/>
      <c r="E24" s="10"/>
      <c r="F24" s="10"/>
    </row>
    <row r="25" customFormat="false" ht="18" hidden="false" customHeight="true" outlineLevel="0" collapsed="false">
      <c r="B25" s="10"/>
      <c r="C25" s="10"/>
      <c r="D25" s="10"/>
      <c r="E25" s="10"/>
      <c r="F25" s="10"/>
    </row>
    <row r="26" customFormat="false" ht="18" hidden="false" customHeight="true" outlineLevel="0" collapsed="false">
      <c r="B26" s="10"/>
      <c r="C26" s="10"/>
      <c r="D26" s="10"/>
      <c r="E26" s="10"/>
      <c r="F26" s="10"/>
    </row>
    <row r="27" customFormat="false" ht="18" hidden="false" customHeight="true" outlineLevel="0" collapsed="false"/>
    <row r="28" customFormat="false" ht="18" hidden="false" customHeight="true" outlineLevel="0" collapsed="false">
      <c r="A28" s="11"/>
      <c r="B28" s="11"/>
      <c r="C28" s="11"/>
      <c r="D28" s="11"/>
      <c r="E28" s="11"/>
      <c r="F28" s="11"/>
      <c r="G28" s="11"/>
    </row>
    <row r="29" customFormat="false" ht="18" hidden="false" customHeight="true" outlineLevel="0" collapsed="false">
      <c r="A29" s="11"/>
      <c r="B29" s="12" t="s">
        <v>10</v>
      </c>
      <c r="C29" s="12"/>
      <c r="D29" s="12"/>
      <c r="E29" s="12"/>
      <c r="F29" s="12"/>
      <c r="G29" s="11"/>
    </row>
  </sheetData>
  <mergeCells count="15">
    <mergeCell ref="B2:F2"/>
    <mergeCell ref="B6:F8"/>
    <mergeCell ref="B10:F10"/>
    <mergeCell ref="B13:C13"/>
    <mergeCell ref="D13:F13"/>
    <mergeCell ref="B14:C14"/>
    <mergeCell ref="D14:F14"/>
    <mergeCell ref="B15:C15"/>
    <mergeCell ref="D15:F15"/>
    <mergeCell ref="B16:C16"/>
    <mergeCell ref="D16:F16"/>
    <mergeCell ref="B17:C17"/>
    <mergeCell ref="D17:F17"/>
    <mergeCell ref="B20:F26"/>
    <mergeCell ref="B29:F2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F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14"/>
    <col collapsed="false" customWidth="true" hidden="false" outlineLevel="0" max="5" min="3" style="1" width="16"/>
    <col collapsed="false" customWidth="true" hidden="false" outlineLevel="0" max="6" min="6" style="1" width="46"/>
  </cols>
  <sheetData>
    <row r="1" customFormat="false" ht="21.75" hidden="false" customHeight="true" outlineLevel="0" collapsed="false">
      <c r="A1" s="13" t="s">
        <v>11</v>
      </c>
      <c r="B1" s="13"/>
      <c r="C1" s="13"/>
      <c r="D1" s="13"/>
      <c r="E1" s="13"/>
      <c r="F1" s="13"/>
    </row>
    <row r="2" customFormat="false" ht="25.5" hidden="false" customHeight="true" outlineLevel="0" collapsed="false">
      <c r="A2" s="14" t="s">
        <v>12</v>
      </c>
      <c r="B2" s="14"/>
      <c r="C2" s="14"/>
      <c r="D2" s="14"/>
      <c r="E2" s="14"/>
      <c r="F2" s="14"/>
    </row>
    <row r="4" customFormat="false" ht="15" hidden="false" customHeight="true" outlineLevel="0" collapsed="false">
      <c r="A4" s="15" t="s">
        <v>13</v>
      </c>
      <c r="B4" s="15"/>
      <c r="C4" s="15"/>
      <c r="D4" s="15"/>
      <c r="E4" s="15"/>
      <c r="F4" s="15"/>
    </row>
    <row r="5" customFormat="false" ht="15" hidden="false" customHeight="true" outlineLevel="0" collapsed="false">
      <c r="A5" s="16" t="s">
        <v>14</v>
      </c>
      <c r="B5" s="17" t="n">
        <v>0.088</v>
      </c>
    </row>
    <row r="6" customFormat="false" ht="15" hidden="false" customHeight="true" outlineLevel="0" collapsed="false">
      <c r="A6" s="16" t="s">
        <v>15</v>
      </c>
      <c r="B6" s="17" t="n">
        <v>0.177</v>
      </c>
    </row>
    <row r="7" customFormat="false" ht="24" hidden="false" customHeight="true" outlineLevel="0" collapsed="false">
      <c r="A7" s="18" t="s">
        <v>16</v>
      </c>
      <c r="B7" s="18"/>
      <c r="C7" s="18"/>
      <c r="D7" s="18"/>
      <c r="E7" s="18"/>
      <c r="F7" s="18"/>
    </row>
    <row r="9" customFormat="false" ht="15" hidden="false" customHeight="true" outlineLevel="0" collapsed="false">
      <c r="A9" s="15" t="s">
        <v>17</v>
      </c>
      <c r="B9" s="15"/>
      <c r="C9" s="15"/>
      <c r="D9" s="15"/>
      <c r="E9" s="15"/>
      <c r="F9" s="15"/>
    </row>
    <row r="10" customFormat="false" ht="30" hidden="false" customHeight="true" outlineLevel="0" collapsed="false">
      <c r="A10" s="19" t="s">
        <v>18</v>
      </c>
      <c r="B10" s="19" t="s">
        <v>19</v>
      </c>
      <c r="C10" s="19" t="s">
        <v>20</v>
      </c>
      <c r="D10" s="19" t="s">
        <v>21</v>
      </c>
      <c r="E10" s="19" t="s">
        <v>22</v>
      </c>
      <c r="F10" s="19" t="s">
        <v>23</v>
      </c>
    </row>
    <row r="11" customFormat="false" ht="30" hidden="false" customHeight="true" outlineLevel="0" collapsed="false">
      <c r="A11" s="20" t="n">
        <v>2026</v>
      </c>
      <c r="B11" s="21" t="n">
        <f aca="false">0.009</f>
        <v>0.009</v>
      </c>
      <c r="C11" s="21" t="n">
        <f aca="false">0.001</f>
        <v>0.001</v>
      </c>
      <c r="D11" s="22" t="n">
        <v>1</v>
      </c>
      <c r="E11" s="22" t="n">
        <v>0</v>
      </c>
      <c r="F11" s="23" t="s">
        <v>24</v>
      </c>
    </row>
    <row r="12" customFormat="false" ht="30" hidden="false" customHeight="true" outlineLevel="0" collapsed="false">
      <c r="A12" s="24" t="n">
        <v>2027</v>
      </c>
      <c r="B12" s="25" t="n">
        <f aca="false">$B$5</f>
        <v>0.088</v>
      </c>
      <c r="C12" s="25" t="n">
        <f aca="false">0.001</f>
        <v>0.001</v>
      </c>
      <c r="D12" s="26" t="n">
        <v>1</v>
      </c>
      <c r="E12" s="26" t="n">
        <v>0</v>
      </c>
      <c r="F12" s="27" t="s">
        <v>25</v>
      </c>
    </row>
    <row r="13" customFormat="false" ht="30" hidden="false" customHeight="true" outlineLevel="0" collapsed="false">
      <c r="A13" s="20" t="n">
        <v>2028</v>
      </c>
      <c r="B13" s="21" t="n">
        <f aca="false">$B$5</f>
        <v>0.088</v>
      </c>
      <c r="C13" s="21" t="n">
        <f aca="false">0.001</f>
        <v>0.001</v>
      </c>
      <c r="D13" s="22" t="n">
        <v>1</v>
      </c>
      <c r="E13" s="22" t="n">
        <v>0</v>
      </c>
      <c r="F13" s="23" t="s">
        <v>26</v>
      </c>
    </row>
    <row r="14" customFormat="false" ht="30" hidden="false" customHeight="true" outlineLevel="0" collapsed="false">
      <c r="A14" s="24" t="n">
        <v>2029</v>
      </c>
      <c r="B14" s="25" t="n">
        <f aca="false">$B$5</f>
        <v>0.088</v>
      </c>
      <c r="C14" s="25" t="n">
        <f aca="false">$B$6*0.1</f>
        <v>0.0177</v>
      </c>
      <c r="D14" s="26" t="n">
        <v>0.9</v>
      </c>
      <c r="E14" s="26" t="n">
        <v>0.1</v>
      </c>
      <c r="F14" s="27" t="s">
        <v>27</v>
      </c>
    </row>
    <row r="15" customFormat="false" ht="30" hidden="false" customHeight="true" outlineLevel="0" collapsed="false">
      <c r="A15" s="20" t="n">
        <v>2030</v>
      </c>
      <c r="B15" s="21" t="n">
        <f aca="false">$B$5</f>
        <v>0.088</v>
      </c>
      <c r="C15" s="21" t="n">
        <f aca="false">$B$6*0.2</f>
        <v>0.0354</v>
      </c>
      <c r="D15" s="22" t="n">
        <v>0.8</v>
      </c>
      <c r="E15" s="22" t="n">
        <v>0.2</v>
      </c>
      <c r="F15" s="23" t="s">
        <v>28</v>
      </c>
    </row>
    <row r="16" customFormat="false" ht="30" hidden="false" customHeight="true" outlineLevel="0" collapsed="false">
      <c r="A16" s="24" t="n">
        <v>2031</v>
      </c>
      <c r="B16" s="25" t="n">
        <f aca="false">$B$5</f>
        <v>0.088</v>
      </c>
      <c r="C16" s="25" t="n">
        <f aca="false">$B$6*0.3</f>
        <v>0.0531</v>
      </c>
      <c r="D16" s="26" t="n">
        <v>0.7</v>
      </c>
      <c r="E16" s="26" t="n">
        <v>0.3</v>
      </c>
      <c r="F16" s="27" t="s">
        <v>29</v>
      </c>
    </row>
    <row r="17" customFormat="false" ht="30" hidden="false" customHeight="true" outlineLevel="0" collapsed="false">
      <c r="A17" s="20" t="n">
        <v>2032</v>
      </c>
      <c r="B17" s="21" t="n">
        <f aca="false">$B$5</f>
        <v>0.088</v>
      </c>
      <c r="C17" s="21" t="n">
        <f aca="false">$B$6*0.4</f>
        <v>0.0708</v>
      </c>
      <c r="D17" s="22" t="n">
        <v>0.6</v>
      </c>
      <c r="E17" s="22" t="n">
        <v>0.4</v>
      </c>
      <c r="F17" s="23" t="s">
        <v>30</v>
      </c>
    </row>
    <row r="18" customFormat="false" ht="30" hidden="false" customHeight="true" outlineLevel="0" collapsed="false">
      <c r="A18" s="24" t="n">
        <v>2033</v>
      </c>
      <c r="B18" s="25" t="n">
        <f aca="false">$B$5</f>
        <v>0.088</v>
      </c>
      <c r="C18" s="25" t="n">
        <f aca="false">$B$6</f>
        <v>0.177</v>
      </c>
      <c r="D18" s="26" t="n">
        <v>0</v>
      </c>
      <c r="E18" s="26" t="n">
        <v>1</v>
      </c>
      <c r="F18" s="27" t="s">
        <v>31</v>
      </c>
    </row>
    <row r="20" customFormat="false" ht="15" hidden="false" customHeight="true" outlineLevel="0" collapsed="false">
      <c r="A20" s="15" t="s">
        <v>32</v>
      </c>
      <c r="B20" s="15"/>
      <c r="C20" s="15"/>
      <c r="D20" s="15"/>
      <c r="E20" s="15"/>
      <c r="F20" s="15"/>
    </row>
    <row r="21" customFormat="false" ht="15" hidden="false" customHeight="true" outlineLevel="0" collapsed="false">
      <c r="A21" s="16" t="s">
        <v>33</v>
      </c>
      <c r="B21" s="28" t="n">
        <v>2027</v>
      </c>
    </row>
    <row r="22" customFormat="false" ht="15" hidden="false" customHeight="true" outlineLevel="0" collapsed="false">
      <c r="A22" s="29" t="s">
        <v>34</v>
      </c>
      <c r="B22" s="30" t="n">
        <f aca="false">INDEX($B$11:$B$18,MATCH($B$21,$A$11:$A$18,0))</f>
        <v>0.088</v>
      </c>
    </row>
    <row r="23" customFormat="false" ht="15" hidden="false" customHeight="true" outlineLevel="0" collapsed="false">
      <c r="A23" s="29" t="s">
        <v>35</v>
      </c>
      <c r="B23" s="30" t="n">
        <f aca="false">INDEX($C$11:$C$18,MATCH($B$21,$A$11:$A$18,0))</f>
        <v>0.001</v>
      </c>
    </row>
    <row r="24" customFormat="false" ht="15" hidden="false" customHeight="true" outlineLevel="0" collapsed="false">
      <c r="A24" s="29" t="s">
        <v>36</v>
      </c>
      <c r="B24" s="31" t="n">
        <f aca="false">INDEX($D$11:$D$18,MATCH($B$21,$A$11:$A$18,0))</f>
        <v>1</v>
      </c>
    </row>
  </sheetData>
  <mergeCells count="6">
    <mergeCell ref="A1:F1"/>
    <mergeCell ref="A2:F2"/>
    <mergeCell ref="A4:F4"/>
    <mergeCell ref="A7:F7"/>
    <mergeCell ref="A9:F9"/>
    <mergeCell ref="A20:F20"/>
  </mergeCells>
  <dataValidations count="1">
    <dataValidation allowBlank="false" errorStyle="stop" operator="between" showDropDown="false" showErrorMessage="false" showInputMessage="false" sqref="B21" type="list">
      <formula1>$A$11:$A$18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E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46"/>
    <col collapsed="false" customWidth="true" hidden="false" outlineLevel="0" max="4" min="3" style="1" width="20"/>
    <col collapsed="false" customWidth="true" hidden="false" outlineLevel="0" max="5" min="5" style="1" width="46"/>
  </cols>
  <sheetData>
    <row r="1" customFormat="false" ht="21.75" hidden="false" customHeight="true" outlineLevel="0" collapsed="false">
      <c r="A1" s="13" t="s">
        <v>37</v>
      </c>
      <c r="B1" s="13"/>
      <c r="C1" s="13"/>
      <c r="D1" s="13"/>
      <c r="E1" s="13"/>
    </row>
    <row r="2" customFormat="false" ht="24" hidden="false" customHeight="true" outlineLevel="0" collapsed="false">
      <c r="A2" s="14" t="s">
        <v>38</v>
      </c>
      <c r="B2" s="14"/>
      <c r="C2" s="14"/>
      <c r="D2" s="14"/>
      <c r="E2" s="14"/>
    </row>
    <row r="4" customFormat="false" ht="15" hidden="false" customHeight="true" outlineLevel="0" collapsed="false">
      <c r="A4" s="15" t="s">
        <v>39</v>
      </c>
      <c r="B4" s="15"/>
      <c r="C4" s="15"/>
      <c r="D4" s="15"/>
      <c r="E4" s="15"/>
    </row>
    <row r="5" customFormat="false" ht="15" hidden="false" customHeight="true" outlineLevel="0" collapsed="false">
      <c r="B5" s="16" t="s">
        <v>40</v>
      </c>
      <c r="C5" s="32" t="s">
        <v>41</v>
      </c>
    </row>
    <row r="6" customFormat="false" ht="15" hidden="false" customHeight="true" outlineLevel="0" collapsed="false">
      <c r="B6" s="16" t="s">
        <v>42</v>
      </c>
      <c r="C6" s="33" t="s">
        <v>43</v>
      </c>
    </row>
    <row r="7" customFormat="false" ht="15" hidden="false" customHeight="true" outlineLevel="0" collapsed="false">
      <c r="B7" s="16" t="s">
        <v>44</v>
      </c>
      <c r="C7" s="33" t="s">
        <v>45</v>
      </c>
    </row>
    <row r="8" customFormat="false" ht="15" hidden="false" customHeight="true" outlineLevel="0" collapsed="false">
      <c r="A8" s="18" t="s">
        <v>46</v>
      </c>
      <c r="B8" s="18"/>
      <c r="C8" s="18"/>
      <c r="D8" s="18"/>
      <c r="E8" s="18"/>
    </row>
    <row r="10" customFormat="false" ht="15" hidden="false" customHeight="true" outlineLevel="0" collapsed="false">
      <c r="A10" s="15" t="s">
        <v>47</v>
      </c>
      <c r="B10" s="15"/>
      <c r="C10" s="15"/>
      <c r="D10" s="15"/>
      <c r="E10" s="15"/>
    </row>
    <row r="11" customFormat="false" ht="15" hidden="false" customHeight="true" outlineLevel="0" collapsed="false">
      <c r="B11" s="29" t="s">
        <v>48</v>
      </c>
      <c r="C11" s="34" t="n">
        <v>850000</v>
      </c>
    </row>
    <row r="12" customFormat="false" ht="15" hidden="false" customHeight="true" outlineLevel="0" collapsed="false">
      <c r="B12" s="29" t="s">
        <v>49</v>
      </c>
      <c r="C12" s="35" t="n">
        <v>0.4</v>
      </c>
    </row>
    <row r="13" customFormat="false" ht="15" hidden="false" customHeight="true" outlineLevel="0" collapsed="false">
      <c r="B13" s="29" t="s">
        <v>50</v>
      </c>
      <c r="C13" s="33" t="s">
        <v>51</v>
      </c>
    </row>
    <row r="14" customFormat="false" ht="15" hidden="false" customHeight="true" outlineLevel="0" collapsed="false">
      <c r="B14" s="29" t="s">
        <v>52</v>
      </c>
      <c r="C14" s="17" t="n">
        <v>0.12</v>
      </c>
    </row>
    <row r="15" customFormat="false" ht="15" hidden="false" customHeight="true" outlineLevel="0" collapsed="false">
      <c r="B15" s="29" t="s">
        <v>53</v>
      </c>
      <c r="C15" s="17" t="n">
        <v>0.03</v>
      </c>
    </row>
    <row r="16" customFormat="false" ht="15" hidden="false" customHeight="true" outlineLevel="0" collapsed="false">
      <c r="B16" s="29" t="s">
        <v>54</v>
      </c>
      <c r="C16" s="17" t="n">
        <v>0</v>
      </c>
    </row>
    <row r="17" customFormat="false" ht="21.75" hidden="false" customHeight="true" outlineLevel="0" collapsed="false">
      <c r="A17" s="18" t="s">
        <v>55</v>
      </c>
      <c r="B17" s="18"/>
      <c r="C17" s="18"/>
      <c r="D17" s="18"/>
      <c r="E17" s="18"/>
    </row>
    <row r="19" customFormat="false" ht="15" hidden="false" customHeight="true" outlineLevel="0" collapsed="false">
      <c r="A19" s="15" t="s">
        <v>56</v>
      </c>
      <c r="B19" s="15"/>
      <c r="C19" s="15"/>
      <c r="D19" s="15"/>
      <c r="E19" s="15"/>
    </row>
    <row r="20" customFormat="false" ht="15" hidden="false" customHeight="true" outlineLevel="0" collapsed="false">
      <c r="B20" s="29" t="s">
        <v>57</v>
      </c>
      <c r="C20" s="34" t="n">
        <v>9000000</v>
      </c>
    </row>
    <row r="21" customFormat="false" ht="15" hidden="false" customHeight="true" outlineLevel="0" collapsed="false">
      <c r="B21" s="29" t="s">
        <v>58</v>
      </c>
      <c r="C21" s="33" t="s">
        <v>59</v>
      </c>
    </row>
    <row r="22" customFormat="false" ht="15" hidden="false" customHeight="true" outlineLevel="0" collapsed="false">
      <c r="B22" s="29" t="s">
        <v>60</v>
      </c>
      <c r="C22" s="35" t="n">
        <v>0.28</v>
      </c>
    </row>
    <row r="23" customFormat="false" ht="15" hidden="false" customHeight="true" outlineLevel="0" collapsed="false">
      <c r="B23" s="29" t="s">
        <v>61</v>
      </c>
      <c r="C23" s="34" t="n">
        <v>750000</v>
      </c>
    </row>
    <row r="24" customFormat="false" ht="15" hidden="false" customHeight="true" outlineLevel="0" collapsed="false">
      <c r="B24" s="29" t="s">
        <v>62</v>
      </c>
      <c r="C24" s="34" t="n">
        <v>52000</v>
      </c>
    </row>
    <row r="25" customFormat="false" ht="15" hidden="false" customHeight="true" outlineLevel="0" collapsed="false">
      <c r="B25" s="29" t="s">
        <v>63</v>
      </c>
      <c r="C25" s="34" t="n">
        <v>8500</v>
      </c>
    </row>
    <row r="26" customFormat="false" ht="15" hidden="false" customHeight="true" outlineLevel="0" collapsed="false">
      <c r="B26" s="29" t="s">
        <v>64</v>
      </c>
      <c r="C26" s="34" t="n">
        <v>2900</v>
      </c>
    </row>
    <row r="27" customFormat="false" ht="15" hidden="false" customHeight="true" outlineLevel="0" collapsed="false">
      <c r="B27" s="29" t="s">
        <v>65</v>
      </c>
      <c r="C27" s="35" t="n">
        <v>0.3</v>
      </c>
    </row>
    <row r="28" customFormat="false" ht="15" hidden="false" customHeight="true" outlineLevel="0" collapsed="false">
      <c r="B28" s="29" t="s">
        <v>66</v>
      </c>
      <c r="C28" s="35" t="n">
        <v>0.35</v>
      </c>
    </row>
    <row r="29" customFormat="false" ht="33.75" hidden="false" customHeight="true" outlineLevel="0" collapsed="false">
      <c r="A29" s="18" t="s">
        <v>67</v>
      </c>
      <c r="B29" s="18"/>
      <c r="C29" s="18"/>
      <c r="D29" s="18"/>
      <c r="E29" s="18"/>
    </row>
  </sheetData>
  <mergeCells count="8">
    <mergeCell ref="A1:E1"/>
    <mergeCell ref="A2:E2"/>
    <mergeCell ref="A4:E4"/>
    <mergeCell ref="A8:E8"/>
    <mergeCell ref="A10:E10"/>
    <mergeCell ref="A17:E17"/>
    <mergeCell ref="A19:E19"/>
    <mergeCell ref="A29:E29"/>
  </mergeCells>
  <dataValidations count="4">
    <dataValidation allowBlank="false" errorStyle="stop" operator="between" showDropDown="false" showErrorMessage="false" showInputMessage="false" sqref="C6" type="list">
      <formula1>"Comércio/Indústria,Serviços"</formula1>
      <formula2>0</formula2>
    </dataValidation>
    <dataValidation allowBlank="false" errorStyle="stop" operator="between" showDropDown="false" showErrorMessage="false" showInputMessage="false" sqref="C7" type="list">
      <formula1>"Lucro Presumido,Simples Nacional"</formula1>
      <formula2>0</formula2>
    </dataValidation>
    <dataValidation allowBlank="false" errorStyle="stop" operator="between" showDropDown="false" showErrorMessage="false" showInputMessage="false" sqref="C13" type="list">
      <formula1>"Comércio/Indústria (8%/12%),Serviços Gerais (32%/32%),Serviços — Transporte de carga (8%/12%),Serviços — Transporte demais (16%/12%),Serviços Hospitalares/Auxiliares Saúde (8%/12%)"</formula1>
      <formula2>0</formula2>
    </dataValidation>
    <dataValidation allowBlank="false" errorStyle="stop" operator="between" showDropDown="false" showErrorMessage="false" showInputMessage="false" sqref="C21" type="list">
      <formula1>"Anexo I,Anexo II,Anexo III,Anexo IV,Anexo V"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D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2"/>
    <col collapsed="false" customWidth="true" hidden="false" outlineLevel="0" max="3" min="2" style="1" width="20"/>
    <col collapsed="false" customWidth="true" hidden="false" outlineLevel="0" max="4" min="4" style="1" width="46"/>
  </cols>
  <sheetData>
    <row r="1" customFormat="false" ht="21.75" hidden="false" customHeight="true" outlineLevel="0" collapsed="false">
      <c r="A1" s="13" t="s">
        <v>68</v>
      </c>
      <c r="B1" s="13"/>
      <c r="C1" s="13"/>
      <c r="D1" s="13"/>
    </row>
    <row r="2" customFormat="false" ht="18" hidden="false" customHeight="true" outlineLevel="0" collapsed="false">
      <c r="A2" s="36" t="str">
        <f aca="false">"Setor: "&amp;'Dados de Entrada'!$C$6&amp;"   |   Ano de análise: "&amp;Parâmetros!$B$21&amp;"   |   CBS do ano: "&amp;TEXT(Parâmetros!$B$22,"0.00%")&amp;"   |   IBS efetivo do ano: "&amp;TEXT(Parâmetros!$B$23,"0.00%")</f>
        <v>Setor: Comércio/Indústria   |   Ano de análise: 2027   |   CBS do ano: 8.80%   |   IBS efetivo do ano: 0.10%</v>
      </c>
      <c r="B2" s="36"/>
      <c r="C2" s="36"/>
      <c r="D2" s="36"/>
    </row>
    <row r="4" customFormat="false" ht="15" hidden="false" customHeight="true" outlineLevel="0" collapsed="false">
      <c r="A4" s="15" t="s">
        <v>69</v>
      </c>
      <c r="B4" s="15"/>
      <c r="C4" s="15"/>
      <c r="D4" s="15"/>
    </row>
    <row r="5" customFormat="false" ht="15" hidden="false" customHeight="true" outlineLevel="0" collapsed="false">
      <c r="A5" s="29" t="s">
        <v>70</v>
      </c>
      <c r="B5" s="31" t="n">
        <f aca="false">IF('Dados de Entrada'!$C$13="Comércio/Indústria (8%/12%)",0.08,IF('Dados de Entrada'!$C$13="Serviços Gerais (32%/32%)",0.32,IF('Dados de Entrada'!$C$13="Serviços — Transporte de carga (8%/12%)",0.08,IF('Dados de Entrada'!$C$13="Serviços — Transporte demais (16%/12%)",0.16,0.08))))</f>
        <v>0.08</v>
      </c>
    </row>
    <row r="6" customFormat="false" ht="15" hidden="false" customHeight="true" outlineLevel="0" collapsed="false">
      <c r="A6" s="29" t="s">
        <v>71</v>
      </c>
      <c r="B6" s="31" t="n">
        <f aca="false">IF('Dados de Entrada'!$C$13="Serviços Gerais (32%/32%)",0.32,0.12)</f>
        <v>0.12</v>
      </c>
    </row>
    <row r="8" customFormat="false" ht="15" hidden="false" customHeight="true" outlineLevel="0" collapsed="false">
      <c r="A8" s="15" t="s">
        <v>72</v>
      </c>
      <c r="B8" s="15"/>
      <c r="C8" s="15"/>
      <c r="D8" s="15"/>
    </row>
    <row r="9" customFormat="false" ht="19.5" hidden="false" customHeight="true" outlineLevel="0" collapsed="false">
      <c r="A9" s="19" t="s">
        <v>73</v>
      </c>
      <c r="B9" s="19" t="s">
        <v>74</v>
      </c>
      <c r="C9" s="19" t="s">
        <v>75</v>
      </c>
      <c r="D9" s="19" t="s">
        <v>23</v>
      </c>
    </row>
    <row r="10" customFormat="false" ht="15" hidden="false" customHeight="true" outlineLevel="0" collapsed="false">
      <c r="A10" s="37" t="s">
        <v>76</v>
      </c>
      <c r="B10" s="38" t="n">
        <f aca="false">'Dados de Entrada'!$C$11</f>
        <v>850000</v>
      </c>
      <c r="C10" s="38" t="n">
        <f aca="false">'Dados de Entrada'!$C$11</f>
        <v>850000</v>
      </c>
      <c r="D10" s="39"/>
    </row>
    <row r="11" customFormat="false" ht="15" hidden="false" customHeight="true" outlineLevel="0" collapsed="false">
      <c r="A11" s="40" t="s">
        <v>77</v>
      </c>
      <c r="B11" s="41" t="n">
        <f aca="false">B10*$B$5</f>
        <v>68000</v>
      </c>
      <c r="C11" s="41" t="n">
        <f aca="false">C10*$B$5</f>
        <v>68000</v>
      </c>
      <c r="D11" s="42"/>
    </row>
    <row r="12" customFormat="false" ht="15" hidden="false" customHeight="true" outlineLevel="0" collapsed="false">
      <c r="A12" s="37" t="s">
        <v>78</v>
      </c>
      <c r="B12" s="38" t="n">
        <f aca="false">B11*0.15+MAX(0,B11-20000)*0.1</f>
        <v>15000</v>
      </c>
      <c r="C12" s="38" t="n">
        <f aca="false">C11*0.15+MAX(0,C11-20000)*0.1</f>
        <v>15000</v>
      </c>
      <c r="D12" s="27" t="s">
        <v>79</v>
      </c>
    </row>
    <row r="13" customFormat="false" ht="15" hidden="false" customHeight="true" outlineLevel="0" collapsed="false">
      <c r="A13" s="40" t="s">
        <v>80</v>
      </c>
      <c r="B13" s="41" t="n">
        <f aca="false">B10*$B$6</f>
        <v>102000</v>
      </c>
      <c r="C13" s="41" t="n">
        <f aca="false">C10*$B$6</f>
        <v>102000</v>
      </c>
      <c r="D13" s="42"/>
    </row>
    <row r="14" customFormat="false" ht="15" hidden="false" customHeight="true" outlineLevel="0" collapsed="false">
      <c r="A14" s="37" t="s">
        <v>81</v>
      </c>
      <c r="B14" s="38" t="n">
        <f aca="false">B13*0.09</f>
        <v>9180</v>
      </c>
      <c r="C14" s="38" t="n">
        <f aca="false">C13*0.09</f>
        <v>9180</v>
      </c>
      <c r="D14" s="39"/>
    </row>
    <row r="15" customFormat="false" ht="15" hidden="false" customHeight="true" outlineLevel="0" collapsed="false">
      <c r="A15" s="40" t="s">
        <v>82</v>
      </c>
      <c r="B15" s="41" t="n">
        <f aca="false">B10*0.0365</f>
        <v>31025</v>
      </c>
      <c r="C15" s="42"/>
      <c r="D15" s="23" t="s">
        <v>83</v>
      </c>
    </row>
    <row r="16" customFormat="false" ht="20.25" hidden="false" customHeight="true" outlineLevel="0" collapsed="false">
      <c r="A16" s="37" t="s">
        <v>84</v>
      </c>
      <c r="B16" s="39"/>
      <c r="C16" s="38" t="n">
        <f aca="false">(C10*Parâmetros!$B$22)-(C10*'Dados de Entrada'!$C$12*Parâmetros!$B$22)</f>
        <v>44880</v>
      </c>
      <c r="D16" s="27" t="s">
        <v>85</v>
      </c>
    </row>
    <row r="17" customFormat="false" ht="20.25" hidden="false" customHeight="true" outlineLevel="0" collapsed="false">
      <c r="A17" s="40" t="s">
        <v>86</v>
      </c>
      <c r="B17" s="41" t="n">
        <f aca="false">IF('Dados de Entrada'!$C$6="Comércio/Indústria",B10*'Dados de Entrada'!$C$14,0)</f>
        <v>102000</v>
      </c>
      <c r="C17" s="41" t="n">
        <f aca="false">IF('Dados de Entrada'!$C$6="Comércio/Indústria",C10*'Dados de Entrada'!$C$14*Parâmetros!$B$24,0)</f>
        <v>102000</v>
      </c>
      <c r="D17" s="23" t="s">
        <v>87</v>
      </c>
    </row>
    <row r="18" customFormat="false" ht="20.25" hidden="false" customHeight="true" outlineLevel="0" collapsed="false">
      <c r="A18" s="37" t="s">
        <v>88</v>
      </c>
      <c r="B18" s="38" t="n">
        <f aca="false">IF('Dados de Entrada'!$C$6="Serviços",B10*'Dados de Entrada'!$C$15,0)</f>
        <v>0</v>
      </c>
      <c r="C18" s="38" t="n">
        <f aca="false">IF('Dados de Entrada'!$C$6="Serviços",C10*'Dados de Entrada'!$C$15*Parâmetros!$B$24,0)</f>
        <v>0</v>
      </c>
      <c r="D18" s="27" t="s">
        <v>89</v>
      </c>
    </row>
    <row r="19" customFormat="false" ht="15" hidden="false" customHeight="true" outlineLevel="0" collapsed="false">
      <c r="A19" s="40" t="s">
        <v>90</v>
      </c>
      <c r="B19" s="42"/>
      <c r="C19" s="41" t="n">
        <f aca="false">(C10*Parâmetros!$B$23)-(C10*'Dados de Entrada'!$C$12*Parâmetros!$B$23)</f>
        <v>510</v>
      </c>
      <c r="D19" s="23" t="s">
        <v>91</v>
      </c>
    </row>
    <row r="20" customFormat="false" ht="30" hidden="false" customHeight="true" outlineLevel="0" collapsed="false">
      <c r="A20" s="37" t="s">
        <v>92</v>
      </c>
      <c r="B20" s="38" t="n">
        <f aca="false">B10*'Dados de Entrada'!$C$16</f>
        <v>0</v>
      </c>
      <c r="C20" s="38" t="n">
        <f aca="false">0</f>
        <v>0</v>
      </c>
      <c r="D20" s="27" t="s">
        <v>93</v>
      </c>
    </row>
    <row r="21" customFormat="false" ht="15" hidden="false" customHeight="true" outlineLevel="0" collapsed="false">
      <c r="A21" s="43" t="s">
        <v>94</v>
      </c>
      <c r="B21" s="44" t="n">
        <f aca="false">B12+B14+B15+B17+B18+B20</f>
        <v>157205</v>
      </c>
      <c r="C21" s="44" t="n">
        <f aca="false">C12+C14+C16+C17+C18+C19+C20</f>
        <v>171570</v>
      </c>
      <c r="D21" s="45"/>
    </row>
    <row r="22" customFormat="false" ht="15" hidden="false" customHeight="true" outlineLevel="0" collapsed="false">
      <c r="A22" s="16" t="s">
        <v>95</v>
      </c>
      <c r="B22" s="46" t="n">
        <f aca="false">B21*12</f>
        <v>1886460</v>
      </c>
      <c r="C22" s="46" t="n">
        <f aca="false">C21*12</f>
        <v>2058840</v>
      </c>
    </row>
    <row r="23" customFormat="false" ht="15" hidden="false" customHeight="true" outlineLevel="0" collapsed="false">
      <c r="A23" s="16" t="s">
        <v>96</v>
      </c>
      <c r="C23" s="47" t="n">
        <f aca="false">C22-B22</f>
        <v>172380</v>
      </c>
    </row>
    <row r="24" customFormat="false" ht="15" hidden="false" customHeight="true" outlineLevel="0" collapsed="false">
      <c r="A24" s="16" t="s">
        <v>97</v>
      </c>
      <c r="C24" s="48" t="n">
        <f aca="false">IFERROR(C22/B22-1,0)</f>
        <v>0.0913775007156261</v>
      </c>
    </row>
    <row r="26" customFormat="false" ht="45.75" hidden="false" customHeight="true" outlineLevel="0" collapsed="false">
      <c r="A26" s="18" t="s">
        <v>98</v>
      </c>
      <c r="B26" s="18"/>
      <c r="C26" s="18"/>
      <c r="D26" s="18"/>
    </row>
  </sheetData>
  <mergeCells count="5">
    <mergeCell ref="A1:D1"/>
    <mergeCell ref="A2:D2"/>
    <mergeCell ref="A4:D4"/>
    <mergeCell ref="A8:D8"/>
    <mergeCell ref="A26:D2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D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2"/>
    <col collapsed="false" customWidth="true" hidden="false" outlineLevel="0" max="3" min="2" style="1" width="20"/>
    <col collapsed="false" customWidth="true" hidden="false" outlineLevel="0" max="4" min="4" style="1" width="46"/>
  </cols>
  <sheetData>
    <row r="1" customFormat="false" ht="21.75" hidden="false" customHeight="true" outlineLevel="0" collapsed="false">
      <c r="A1" s="49" t="s">
        <v>99</v>
      </c>
      <c r="B1" s="49"/>
      <c r="C1" s="49"/>
      <c r="D1" s="49"/>
    </row>
    <row r="2" customFormat="false" ht="18" hidden="false" customHeight="true" outlineLevel="0" collapsed="false">
      <c r="A2" s="36" t="str">
        <f aca="false">"Anexo: "&amp;'Dados de Entrada'!$C$21&amp;"   |   Ano de análise: "&amp;Parâmetros!$B$21&amp;"   |   CBS do ano: "&amp;TEXT(Parâmetros!$B$22,"0.00%")&amp;"   |   IBS efetivo do ano: "&amp;TEXT(Parâmetros!$B$23,"0.00%")</f>
        <v>Anexo: Anexo I   |   Ano de análise: 2027   |   CBS do ano: 8.80%   |   IBS efetivo do ano: 0.10%</v>
      </c>
      <c r="B2" s="36"/>
      <c r="C2" s="36"/>
      <c r="D2" s="36"/>
    </row>
    <row r="4" customFormat="false" ht="15" hidden="false" customHeight="true" outlineLevel="0" collapsed="false">
      <c r="A4" s="15" t="s">
        <v>100</v>
      </c>
      <c r="B4" s="15"/>
      <c r="C4" s="15"/>
      <c r="D4" s="15"/>
    </row>
    <row r="5" customFormat="false" ht="15" hidden="false" customHeight="true" outlineLevel="0" collapsed="false">
      <c r="A5" s="29" t="s">
        <v>101</v>
      </c>
      <c r="B5" s="50" t="n">
        <f aca="false">'Dados de Entrada'!$C$24</f>
        <v>52000</v>
      </c>
    </row>
    <row r="6" customFormat="false" ht="27.75" hidden="false" customHeight="true" outlineLevel="0" collapsed="false">
      <c r="A6" s="18" t="s">
        <v>102</v>
      </c>
      <c r="B6" s="18"/>
      <c r="C6" s="18"/>
      <c r="D6" s="18"/>
    </row>
    <row r="8" customFormat="false" ht="15" hidden="false" customHeight="true" outlineLevel="0" collapsed="false">
      <c r="A8" s="15" t="s">
        <v>103</v>
      </c>
      <c r="B8" s="15"/>
      <c r="C8" s="15"/>
      <c r="D8" s="15"/>
    </row>
    <row r="9" customFormat="false" ht="20.25" hidden="false" customHeight="true" outlineLevel="0" collapsed="false">
      <c r="A9" s="40" t="s">
        <v>104</v>
      </c>
      <c r="B9" s="41" t="n">
        <f aca="false">'Dados de Entrada'!$C$24-'Dados de Entrada'!$C$25-'Dados de Entrada'!$C$26</f>
        <v>40600</v>
      </c>
      <c r="C9" s="42"/>
      <c r="D9" s="23" t="s">
        <v>105</v>
      </c>
    </row>
    <row r="10" customFormat="false" ht="15" hidden="false" customHeight="true" outlineLevel="0" collapsed="false">
      <c r="A10" s="40" t="s">
        <v>106</v>
      </c>
      <c r="B10" s="41" t="n">
        <f aca="false">'Dados de Entrada'!$C$23*Parâmetros!$B$22-'Dados de Entrada'!$C$23*'Dados de Entrada'!$C$28*Parâmetros!$B$22</f>
        <v>42900</v>
      </c>
      <c r="C10" s="42"/>
      <c r="D10" s="42"/>
    </row>
    <row r="11" customFormat="false" ht="15" hidden="false" customHeight="true" outlineLevel="0" collapsed="false">
      <c r="A11" s="40" t="s">
        <v>107</v>
      </c>
      <c r="B11" s="41" t="n">
        <f aca="false">'Dados de Entrada'!$C$23*Parâmetros!$B$23-'Dados de Entrada'!$C$23*'Dados de Entrada'!$C$28*Parâmetros!$B$23</f>
        <v>487.5</v>
      </c>
      <c r="C11" s="42"/>
      <c r="D11" s="42"/>
    </row>
    <row r="12" customFormat="false" ht="15" hidden="false" customHeight="true" outlineLevel="0" collapsed="false">
      <c r="A12" s="51" t="s">
        <v>108</v>
      </c>
      <c r="B12" s="52" t="n">
        <f aca="false">B9+B10+B11</f>
        <v>83987.5</v>
      </c>
      <c r="C12" s="39"/>
      <c r="D12" s="39"/>
    </row>
    <row r="14" customFormat="false" ht="15" hidden="false" customHeight="true" outlineLevel="0" collapsed="false">
      <c r="A14" s="15" t="s">
        <v>109</v>
      </c>
      <c r="B14" s="15"/>
      <c r="C14" s="15"/>
      <c r="D14" s="15"/>
    </row>
    <row r="15" customFormat="false" ht="15" hidden="false" customHeight="true" outlineLevel="0" collapsed="false">
      <c r="A15" s="29" t="s">
        <v>110</v>
      </c>
      <c r="B15" s="46" t="n">
        <f aca="false">Presumido!$C$21</f>
        <v>171570</v>
      </c>
    </row>
    <row r="16" customFormat="false" ht="31.5" hidden="false" customHeight="true" outlineLevel="0" collapsed="false">
      <c r="A16" s="18" t="s">
        <v>111</v>
      </c>
      <c r="B16" s="18"/>
      <c r="C16" s="18"/>
      <c r="D16" s="18"/>
    </row>
    <row r="18" customFormat="false" ht="15" hidden="false" customHeight="true" outlineLevel="0" collapsed="false">
      <c r="A18" s="15" t="s">
        <v>112</v>
      </c>
      <c r="B18" s="15"/>
      <c r="C18" s="15"/>
      <c r="D18" s="15"/>
    </row>
    <row r="19" customFormat="false" ht="19.5" hidden="false" customHeight="true" outlineLevel="0" collapsed="false">
      <c r="A19" s="19" t="s">
        <v>113</v>
      </c>
      <c r="B19" s="19" t="s">
        <v>114</v>
      </c>
      <c r="C19" s="19" t="s">
        <v>115</v>
      </c>
      <c r="D19" s="19" t="s">
        <v>116</v>
      </c>
    </row>
    <row r="20" customFormat="false" ht="15" hidden="false" customHeight="true" outlineLevel="0" collapsed="false">
      <c r="A20" s="40" t="s">
        <v>117</v>
      </c>
      <c r="B20" s="41" t="n">
        <f aca="false">B5</f>
        <v>52000</v>
      </c>
      <c r="C20" s="41" t="n">
        <f aca="false">B5*12</f>
        <v>624000</v>
      </c>
      <c r="D20" s="22" t="n">
        <f aca="false">0</f>
        <v>0</v>
      </c>
    </row>
    <row r="21" customFormat="false" ht="15" hidden="false" customHeight="true" outlineLevel="0" collapsed="false">
      <c r="A21" s="37" t="s">
        <v>118</v>
      </c>
      <c r="B21" s="38" t="n">
        <f aca="false">B12</f>
        <v>83987.5</v>
      </c>
      <c r="C21" s="38" t="n">
        <f aca="false">B12*12</f>
        <v>1007850</v>
      </c>
      <c r="D21" s="26" t="n">
        <f aca="false">IFERROR(B12/B20-1,0)</f>
        <v>0.615144230769231</v>
      </c>
    </row>
    <row r="22" customFormat="false" ht="15" hidden="false" customHeight="true" outlineLevel="0" collapsed="false">
      <c r="A22" s="40" t="s">
        <v>119</v>
      </c>
      <c r="B22" s="41" t="n">
        <f aca="false">B15</f>
        <v>171570</v>
      </c>
      <c r="C22" s="41" t="n">
        <f aca="false">B15*12</f>
        <v>2058840</v>
      </c>
      <c r="D22" s="22" t="n">
        <f aca="false">IFERROR(B15/B20-1,0)</f>
        <v>2.29942307692308</v>
      </c>
    </row>
    <row r="24" customFormat="false" ht="78" hidden="false" customHeight="true" outlineLevel="0" collapsed="false">
      <c r="A24" s="18" t="s">
        <v>120</v>
      </c>
      <c r="B24" s="18"/>
      <c r="C24" s="18"/>
      <c r="D24" s="18"/>
    </row>
  </sheetData>
  <mergeCells count="9">
    <mergeCell ref="A1:D1"/>
    <mergeCell ref="A2:D2"/>
    <mergeCell ref="A4:D4"/>
    <mergeCell ref="A6:D6"/>
    <mergeCell ref="A8:D8"/>
    <mergeCell ref="A14:D14"/>
    <mergeCell ref="A16:D16"/>
    <mergeCell ref="A18:D18"/>
    <mergeCell ref="A24:D2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9A227"/>
    <pageSetUpPr fitToPage="false"/>
  </sheetPr>
  <dimension ref="A1:E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3" min="2" style="1" width="20"/>
    <col collapsed="false" customWidth="true" hidden="false" outlineLevel="0" max="4" min="4" style="1" width="18"/>
    <col collapsed="false" customWidth="true" hidden="false" outlineLevel="0" max="5" min="5" style="1" width="46"/>
  </cols>
  <sheetData>
    <row r="1" customFormat="false" ht="21.75" hidden="false" customHeight="true" outlineLevel="0" collapsed="false">
      <c r="A1" s="13" t="s">
        <v>121</v>
      </c>
      <c r="B1" s="13"/>
      <c r="C1" s="13"/>
      <c r="D1" s="13"/>
      <c r="E1" s="13"/>
    </row>
    <row r="2" customFormat="false" ht="18" hidden="false" customHeight="true" outlineLevel="0" collapsed="false">
      <c r="A2" s="36" t="str">
        <f aca="false">"Cliente: "&amp;'Dados de Entrada'!$C$5&amp;"   |   Setor: "&amp;'Dados de Entrada'!$C$6&amp;"   |   Regime atual: "&amp;'Dados de Entrada'!$C$7&amp;"   |   Ano de análise: "&amp;Parâmetros!$B$21</f>
        <v>Cliente: Nome do cliente   |   Setor: Comércio/Indústria   |   Regime atual: Lucro Presumido   |   Ano de análise: 2027</v>
      </c>
      <c r="B2" s="36"/>
      <c r="C2" s="36"/>
      <c r="D2" s="36"/>
      <c r="E2" s="36"/>
    </row>
    <row r="4" customFormat="false" ht="15" hidden="false" customHeight="true" outlineLevel="0" collapsed="false">
      <c r="A4" s="15" t="s">
        <v>122</v>
      </c>
      <c r="B4" s="15"/>
      <c r="C4" s="15"/>
      <c r="D4" s="15"/>
      <c r="E4" s="15"/>
    </row>
    <row r="5" customFormat="false" ht="19.5" hidden="false" customHeight="true" outlineLevel="0" collapsed="false">
      <c r="A5" s="19" t="s">
        <v>113</v>
      </c>
      <c r="B5" s="19" t="s">
        <v>114</v>
      </c>
      <c r="C5" s="19" t="s">
        <v>115</v>
      </c>
      <c r="D5" s="19" t="s">
        <v>123</v>
      </c>
    </row>
    <row r="6" customFormat="false" ht="15" hidden="false" customHeight="true" outlineLevel="0" collapsed="false">
      <c r="A6" s="40" t="s">
        <v>124</v>
      </c>
      <c r="B6" s="41" t="n">
        <f aca="false">Presumido!$B$21</f>
        <v>157205</v>
      </c>
      <c r="C6" s="41" t="n">
        <f aca="false">Presumido!$B$22</f>
        <v>1886460</v>
      </c>
      <c r="D6" s="22" t="n">
        <f aca="false">0</f>
        <v>0</v>
      </c>
    </row>
    <row r="7" customFormat="false" ht="15" hidden="false" customHeight="true" outlineLevel="0" collapsed="false">
      <c r="A7" s="37" t="s">
        <v>125</v>
      </c>
      <c r="B7" s="38" t="n">
        <f aca="false">Presumido!$C$21</f>
        <v>171570</v>
      </c>
      <c r="C7" s="38" t="n">
        <f aca="false">Presumido!$C$22</f>
        <v>2058840</v>
      </c>
      <c r="D7" s="26" t="n">
        <f aca="false">IFERROR(B7/B6-1,0)</f>
        <v>0.0913775007156261</v>
      </c>
    </row>
    <row r="9" customFormat="false" ht="15" hidden="false" customHeight="true" outlineLevel="0" collapsed="false">
      <c r="A9" s="15" t="s">
        <v>126</v>
      </c>
      <c r="B9" s="15"/>
      <c r="C9" s="15"/>
      <c r="D9" s="15"/>
      <c r="E9" s="15"/>
    </row>
    <row r="10" customFormat="false" ht="19.5" hidden="false" customHeight="true" outlineLevel="0" collapsed="false">
      <c r="A10" s="19" t="s">
        <v>113</v>
      </c>
      <c r="B10" s="19" t="s">
        <v>114</v>
      </c>
      <c r="C10" s="19" t="s">
        <v>115</v>
      </c>
      <c r="D10" s="19" t="s">
        <v>127</v>
      </c>
    </row>
    <row r="11" customFormat="false" ht="15" hidden="false" customHeight="true" outlineLevel="0" collapsed="false">
      <c r="A11" s="40" t="s">
        <v>117</v>
      </c>
      <c r="B11" s="41" t="n">
        <f aca="false">Simples!$B$20</f>
        <v>52000</v>
      </c>
      <c r="C11" s="41" t="n">
        <f aca="false">Simples!$C$20</f>
        <v>624000</v>
      </c>
      <c r="D11" s="22" t="n">
        <f aca="false">0</f>
        <v>0</v>
      </c>
    </row>
    <row r="12" customFormat="false" ht="15" hidden="false" customHeight="true" outlineLevel="0" collapsed="false">
      <c r="A12" s="37" t="s">
        <v>118</v>
      </c>
      <c r="B12" s="38" t="n">
        <f aca="false">Simples!$B$21</f>
        <v>83987.5</v>
      </c>
      <c r="C12" s="38" t="n">
        <f aca="false">Simples!$C$21</f>
        <v>1007850</v>
      </c>
      <c r="D12" s="26" t="n">
        <f aca="false">Simples!$D$21</f>
        <v>0.615144230769231</v>
      </c>
    </row>
    <row r="13" customFormat="false" ht="15" hidden="false" customHeight="true" outlineLevel="0" collapsed="false">
      <c r="A13" s="40" t="s">
        <v>119</v>
      </c>
      <c r="B13" s="41" t="n">
        <f aca="false">Simples!$B$22</f>
        <v>171570</v>
      </c>
      <c r="C13" s="41" t="n">
        <f aca="false">Simples!$C$22</f>
        <v>2058840</v>
      </c>
      <c r="D13" s="22" t="n">
        <f aca="false">Simples!$D$22</f>
        <v>2.29942307692308</v>
      </c>
    </row>
    <row r="15" customFormat="false" ht="25.5" hidden="false" customHeight="true" outlineLevel="0" collapsed="false">
      <c r="A15" s="18" t="s">
        <v>128</v>
      </c>
      <c r="B15" s="18"/>
      <c r="C15" s="18"/>
      <c r="D15" s="18"/>
      <c r="E15" s="18"/>
    </row>
  </sheetData>
  <mergeCells count="5">
    <mergeCell ref="A1:E1"/>
    <mergeCell ref="A2:E2"/>
    <mergeCell ref="A4:E4"/>
    <mergeCell ref="A9:E9"/>
    <mergeCell ref="A15:E1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FBFBF"/>
    <pageSetUpPr fitToPage="false"/>
  </sheetPr>
  <dimension ref="A1:A3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10"/>
  </cols>
  <sheetData>
    <row r="1" customFormat="false" ht="21.75" hidden="false" customHeight="true" outlineLevel="0" collapsed="false">
      <c r="A1" s="53" t="s">
        <v>129</v>
      </c>
    </row>
    <row r="3" customFormat="false" ht="15" hidden="false" customHeight="true" outlineLevel="0" collapsed="false">
      <c r="A3" s="54" t="s">
        <v>130</v>
      </c>
    </row>
    <row r="4" customFormat="false" ht="45.75" hidden="false" customHeight="true" outlineLevel="0" collapsed="false">
      <c r="A4" s="55" t="s">
        <v>131</v>
      </c>
    </row>
    <row r="5" customFormat="false" ht="45.75" hidden="false" customHeight="true" outlineLevel="0" collapsed="false">
      <c r="A5" s="55" t="s">
        <v>132</v>
      </c>
    </row>
    <row r="7" customFormat="false" ht="15" hidden="false" customHeight="true" outlineLevel="0" collapsed="false">
      <c r="A7" s="54" t="s">
        <v>133</v>
      </c>
    </row>
    <row r="8" customFormat="false" ht="31.5" hidden="false" customHeight="true" outlineLevel="0" collapsed="false">
      <c r="A8" s="55" t="s">
        <v>134</v>
      </c>
    </row>
    <row r="9" customFormat="false" ht="31.5" hidden="false" customHeight="true" outlineLevel="0" collapsed="false">
      <c r="A9" s="55" t="s">
        <v>135</v>
      </c>
    </row>
    <row r="10" customFormat="false" ht="31.5" hidden="false" customHeight="true" outlineLevel="0" collapsed="false">
      <c r="A10" s="55" t="s">
        <v>136</v>
      </c>
    </row>
    <row r="11" customFormat="false" ht="18" hidden="false" customHeight="true" outlineLevel="0" collapsed="false">
      <c r="A11" s="55" t="s">
        <v>137</v>
      </c>
    </row>
    <row r="12" customFormat="false" ht="45.75" hidden="false" customHeight="true" outlineLevel="0" collapsed="false">
      <c r="A12" s="55" t="s">
        <v>138</v>
      </c>
    </row>
    <row r="14" customFormat="false" ht="15" hidden="false" customHeight="true" outlineLevel="0" collapsed="false">
      <c r="A14" s="54" t="s">
        <v>139</v>
      </c>
    </row>
    <row r="15" customFormat="false" ht="31.5" hidden="false" customHeight="true" outlineLevel="0" collapsed="false">
      <c r="A15" s="55" t="s">
        <v>140</v>
      </c>
    </row>
    <row r="16" customFormat="false" ht="18" hidden="false" customHeight="true" outlineLevel="0" collapsed="false">
      <c r="A16" s="55" t="s">
        <v>141</v>
      </c>
    </row>
    <row r="17" customFormat="false" ht="18" hidden="false" customHeight="true" outlineLevel="0" collapsed="false">
      <c r="A17" s="55" t="s">
        <v>142</v>
      </c>
    </row>
    <row r="18" customFormat="false" ht="31.5" hidden="false" customHeight="true" outlineLevel="0" collapsed="false">
      <c r="A18" s="55" t="s">
        <v>143</v>
      </c>
    </row>
    <row r="20" customFormat="false" ht="15" hidden="false" customHeight="true" outlineLevel="0" collapsed="false">
      <c r="A20" s="54" t="s">
        <v>144</v>
      </c>
    </row>
    <row r="21" customFormat="false" ht="31.5" hidden="false" customHeight="true" outlineLevel="0" collapsed="false">
      <c r="A21" s="55" t="s">
        <v>145</v>
      </c>
    </row>
    <row r="22" customFormat="false" ht="60" hidden="false" customHeight="true" outlineLevel="0" collapsed="false">
      <c r="A22" s="55" t="s">
        <v>146</v>
      </c>
    </row>
    <row r="23" customFormat="false" ht="31.5" hidden="false" customHeight="true" outlineLevel="0" collapsed="false">
      <c r="A23" s="55" t="s">
        <v>147</v>
      </c>
    </row>
    <row r="24" customFormat="false" ht="18" hidden="false" customHeight="true" outlineLevel="0" collapsed="false">
      <c r="A24" s="55" t="s">
        <v>148</v>
      </c>
    </row>
    <row r="26" customFormat="false" ht="15" hidden="false" customHeight="true" outlineLevel="0" collapsed="false">
      <c r="A26" s="54" t="s">
        <v>149</v>
      </c>
    </row>
    <row r="27" customFormat="false" ht="18" hidden="false" customHeight="true" outlineLevel="0" collapsed="false">
      <c r="A27" s="55" t="s">
        <v>150</v>
      </c>
    </row>
    <row r="28" customFormat="false" ht="18" hidden="false" customHeight="true" outlineLevel="0" collapsed="false">
      <c r="A28" s="55" t="s">
        <v>151</v>
      </c>
    </row>
    <row r="29" customFormat="false" ht="18" hidden="false" customHeight="true" outlineLevel="0" collapsed="false">
      <c r="A29" s="55" t="s">
        <v>152</v>
      </c>
    </row>
    <row r="30" customFormat="false" ht="18" hidden="false" customHeight="true" outlineLevel="0" collapsed="false">
      <c r="A30" s="55" t="s">
        <v>153</v>
      </c>
    </row>
    <row r="32" customFormat="false" ht="18" hidden="false" customHeight="true" outlineLevel="0" collapsed="false">
      <c r="A32" s="56" t="s">
        <v>154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2026-08-25T18:51:43Z</dcterms:created>
  <dc:creator>openpyxl</dc:creator>
  <dc:description/>
  <dc:language>en-US</dc:language>
  <cp:lastModifiedBy/>
  <dcterms:modified xsi:type="dcterms:W3CDTF">2026-08-25T18:52:16Z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